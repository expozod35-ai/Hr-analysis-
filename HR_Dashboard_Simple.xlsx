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HR Dashboard" sheetId="1" state="visible" r:id="rId3"/>
    <sheet name="Raw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<sst xmlns="http://schemas.openxmlformats.org/spreadsheetml/2006/main" count="88" uniqueCount="61">
  <si>
    <t xml:space="preserve">🏢   PEOPLE &amp; TEAMS DASHBOARD  ·  FULL YEAR 2024</t>
  </si>
  <si>
    <t xml:space="preserve">👥 Total Staff</t>
  </si>
  <si>
    <t xml:space="preserve">👨 Men</t>
  </si>
  <si>
    <t xml:space="preserve">👩 Women</t>
  </si>
  <si>
    <t xml:space="preserve">👨 Men %</t>
  </si>
  <si>
    <t xml:space="preserve">👩 Women %</t>
  </si>
  <si>
    <t xml:space="preserve">📉 People Who Left</t>
  </si>
  <si>
    <t xml:space="preserve">🏬 Teams</t>
  </si>
  <si>
    <t xml:space="preserve">📅 Avg Years Worked</t>
  </si>
  <si>
    <t xml:space="preserve">🎂 Avg Age</t>
  </si>
  <si>
    <t xml:space="preserve">  📊  Staff Count by Team</t>
  </si>
  <si>
    <t xml:space="preserve">  👥  Men vs Women by Team (%)</t>
  </si>
  <si>
    <t xml:space="preserve">  🥧  Men vs Women — All Staff</t>
  </si>
  <si>
    <t xml:space="preserve">  📋  Team Details — Staff Count, Men vs Women &amp; Who Left</t>
  </si>
  <si>
    <t xml:space="preserve">Team / Department</t>
  </si>
  <si>
    <t xml:space="preserve">Total Staff</t>
  </si>
  <si>
    <t xml:space="preserve">Men</t>
  </si>
  <si>
    <t xml:space="preserve">Women</t>
  </si>
  <si>
    <t xml:space="preserve">Men %</t>
  </si>
  <si>
    <t xml:space="preserve">Women %</t>
  </si>
  <si>
    <t xml:space="preserve">Left</t>
  </si>
  <si>
    <t xml:space="preserve">Left %</t>
  </si>
  <si>
    <t xml:space="preserve">Avg Age</t>
  </si>
  <si>
    <t xml:space="preserve">Years Worked</t>
  </si>
  <si>
    <t xml:space="preserve">TOTAL</t>
  </si>
  <si>
    <t xml:space="preserve">  📈  People Who Left vs New Joiners — Month by Month (2024)</t>
  </si>
  <si>
    <t xml:space="preserve">  📉  How Many People Left Each Team (%)</t>
  </si>
  <si>
    <t xml:space="preserve">📌  People &amp; Teams Dashboard  ·  Data from: HR System  ·  Period: Jan–Dec 2024  ·  For Internal Use Only</t>
  </si>
  <si>
    <t xml:space="preserve">Department</t>
  </si>
  <si>
    <t xml:space="preserve">People Left</t>
  </si>
  <si>
    <t xml:space="preserve">Years at Work</t>
  </si>
  <si>
    <t xml:space="preserve">Month</t>
  </si>
  <si>
    <t xml:space="preserve">New Joiners</t>
  </si>
  <si>
    <t xml:space="preserve">Group</t>
  </si>
  <si>
    <t xml:space="preserve">Count</t>
  </si>
  <si>
    <t xml:space="preserve">Team</t>
  </si>
  <si>
    <t xml:space="preserve">Engineering</t>
  </si>
  <si>
    <t xml:space="preserve">Jan 2024</t>
  </si>
  <si>
    <t xml:space="preserve">Sales</t>
  </si>
  <si>
    <t xml:space="preserve">Feb 2024</t>
  </si>
  <si>
    <t xml:space="preserve">HR</t>
  </si>
  <si>
    <t xml:space="preserve">Mar 2024</t>
  </si>
  <si>
    <t xml:space="preserve">Marketing</t>
  </si>
  <si>
    <t xml:space="preserve">Apr 2024</t>
  </si>
  <si>
    <t xml:space="preserve">Finance</t>
  </si>
  <si>
    <t xml:space="preserve">May 2024</t>
  </si>
  <si>
    <t xml:space="preserve">Operations</t>
  </si>
  <si>
    <t xml:space="preserve">Jun 2024</t>
  </si>
  <si>
    <t xml:space="preserve">Customer Svc</t>
  </si>
  <si>
    <t xml:space="preserve">Jul 2024</t>
  </si>
  <si>
    <t xml:space="preserve">Legal</t>
  </si>
  <si>
    <t xml:space="preserve">Aug 2024</t>
  </si>
  <si>
    <t xml:space="preserve">IT Support</t>
  </si>
  <si>
    <t xml:space="preserve">Sep 2024</t>
  </si>
  <si>
    <t xml:space="preserve">R&amp;D</t>
  </si>
  <si>
    <t xml:space="preserve">Oct 2024</t>
  </si>
  <si>
    <t xml:space="preserve">Admin</t>
  </si>
  <si>
    <t xml:space="preserve">Nov 2024</t>
  </si>
  <si>
    <t xml:space="preserve">Procurement</t>
  </si>
  <si>
    <t xml:space="preserve">Dec 2024</t>
  </si>
  <si>
    <t xml:space="preserve">Design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</si>
</sst>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%"/>
    <numFmt numFmtId="167" formatCode="0.0"/>
    <numFmt numFmtId="168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C3E5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999999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2C3E5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F0F3F7"/>
        <bgColor rgb="FFF4F6F7"/>
      </patternFill>
    </fill>
    <fill>
      <patternFill patternType="solid">
        <fgColor rgb="FF1B2A4A"/>
        <bgColor rgb="FF243B55"/>
      </patternFill>
    </fill>
    <fill>
      <patternFill patternType="solid">
        <fgColor rgb="FF243B55"/>
        <bgColor rgb="FF2C3E50"/>
      </patternFill>
    </fill>
    <fill>
      <patternFill patternType="solid">
        <fgColor rgb="FF0D7377"/>
        <bgColor rgb="FF1F618D"/>
      </patternFill>
    </fill>
    <fill>
      <patternFill patternType="solid">
        <fgColor rgb="FF1F618D"/>
        <bgColor rgb="FF1A5276"/>
      </patternFill>
    </fill>
    <fill>
      <patternFill patternType="solid">
        <fgColor rgb="FF6C3483"/>
        <bgColor rgb="FF7D3C98"/>
      </patternFill>
    </fill>
    <fill>
      <patternFill patternType="solid">
        <fgColor rgb="FF1A5276"/>
        <bgColor rgb="FF1F618D"/>
      </patternFill>
    </fill>
    <fill>
      <patternFill patternType="solid">
        <fgColor rgb="FF7D3C98"/>
        <bgColor rgb="FF6C3483"/>
      </patternFill>
    </fill>
    <fill>
      <patternFill patternType="solid">
        <fgColor rgb="FFC0392B"/>
        <bgColor rgb="FFCA6F1E"/>
      </patternFill>
    </fill>
    <fill>
      <patternFill patternType="solid">
        <fgColor rgb="FFCA6F1E"/>
        <bgColor rgb="FFC0392B"/>
      </patternFill>
    </fill>
    <fill>
      <patternFill patternType="solid">
        <fgColor rgb="FF1E8449"/>
        <bgColor rgb="FF148F77"/>
      </patternFill>
    </fill>
    <fill>
      <patternFill patternType="solid">
        <fgColor rgb="FFF4F6F7"/>
        <bgColor rgb="FFF0F3F7"/>
      </patternFill>
    </fill>
    <fill>
      <patternFill patternType="solid">
        <fgColor rgb="FF148F77"/>
        <bgColor rgb="FF1E8449"/>
      </patternFill>
    </fill>
    <fill>
      <patternFill patternType="solid">
        <fgColor rgb="FFEAECEE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D9D9D9"/>
      <rgbColor rgb="FF878787"/>
      <rgbColor rgb="FF9999FF"/>
      <rgbColor rgb="FF7D3C98"/>
      <rgbColor rgb="FFF9F9F9"/>
      <rgbColor rgb="FFF0F3F7"/>
      <rgbColor rgb="FF660066"/>
      <rgbColor rgb="FFFF8080"/>
      <rgbColor rgb="FF1F618D"/>
      <rgbColor rgb="FFD5D8DC"/>
      <rgbColor rgb="FF000080"/>
      <rgbColor rgb="FFFF00FF"/>
      <rgbColor rgb="FFFFFF00"/>
      <rgbColor rgb="FF00FFFF"/>
      <rgbColor rgb="FF800080"/>
      <rgbColor rgb="FF800000"/>
      <rgbColor rgb="FF148F77"/>
      <rgbColor rgb="FF0000FF"/>
      <rgbColor rgb="FF00CCFF"/>
      <rgbColor rgb="FFEAECEE"/>
      <rgbColor rgb="FFF4F6F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A6F1E"/>
      <rgbColor rgb="FF4F81BD"/>
      <rgbColor rgb="FF999999"/>
      <rgbColor rgb="FF1B2A4A"/>
      <rgbColor rgb="FF1E8449"/>
      <rgbColor rgb="FF003300"/>
      <rgbColor rgb="FF1A5276"/>
      <rgbColor rgb="FFC0392B"/>
      <rgbColor rgb="FF6C3483"/>
      <rgbColor rgb="FF243B55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'Raw Data'!B1</c:f>
              <c:strCache>
                <c:ptCount val="1"/>
                <c:pt idx="0">
                  <c:v>Total Staff</c:v>
                </c:pt>
              </c:strCache>
            </c:strRef>
          </c:tx>
          <c:spPr>
            <a:solidFill>
              <a:srgbClr val="0d7377"/>
            </a:solidFill>
            <a:ln w="9360">
              <a:solidFill>
                <a:srgbClr val="0d7377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Data'!$A$2:$A$14</c:f>
              <c:strCache>
                <c:ptCount val="13"/>
                <c:pt idx="0">
                  <c:v>Engineering</c:v>
                </c:pt>
                <c:pt idx="1">
                  <c:v>Sales</c:v>
                </c:pt>
                <c:pt idx="2">
                  <c:v>HR</c:v>
                </c:pt>
                <c:pt idx="3">
                  <c:v>Marketing</c:v>
                </c:pt>
                <c:pt idx="4">
                  <c:v>Finance</c:v>
                </c:pt>
                <c:pt idx="5">
                  <c:v>Operations</c:v>
                </c:pt>
                <c:pt idx="6">
                  <c:v>Customer Svc</c:v>
                </c:pt>
                <c:pt idx="7">
                  <c:v>Legal</c:v>
                </c:pt>
                <c:pt idx="8">
                  <c:v>IT Support</c:v>
                </c:pt>
                <c:pt idx="9">
                  <c:v>R&amp;D</c:v>
                </c:pt>
                <c:pt idx="10">
                  <c:v>Admin</c:v>
                </c:pt>
                <c:pt idx="11">
                  <c:v>Procurement</c:v>
                </c:pt>
                <c:pt idx="12">
                  <c:v>Design</c:v>
                </c:pt>
              </c:strCache>
            </c:strRef>
          </c:cat>
          <c:val>
            <c:numRef>
              <c:f>'Raw Data'!$B$2:$B$14</c:f>
              <c:numCache>
                <c:formatCode>General</c:formatCode>
                <c:ptCount val="13"/>
                <c:pt idx="0">
                  <c:v>92</c:v>
                </c:pt>
                <c:pt idx="1">
                  <c:v>74</c:v>
                </c:pt>
                <c:pt idx="2">
                  <c:v>32</c:v>
                </c:pt>
                <c:pt idx="3">
                  <c:v>48</c:v>
                </c:pt>
                <c:pt idx="4">
                  <c:v>41</c:v>
                </c:pt>
                <c:pt idx="5">
                  <c:v>60</c:v>
                </c:pt>
                <c:pt idx="6">
                  <c:v>55</c:v>
                </c:pt>
                <c:pt idx="7">
                  <c:v>24</c:v>
                </c:pt>
                <c:pt idx="8">
                  <c:v>38</c:v>
                </c:pt>
                <c:pt idx="9">
                  <c:v>29</c:v>
                </c:pt>
                <c:pt idx="10">
                  <c:v>22</c:v>
                </c:pt>
                <c:pt idx="11">
                  <c:v>18</c:v>
                </c:pt>
                <c:pt idx="12">
                  <c:v>27</c:v>
                </c:pt>
              </c:numCache>
            </c:numRef>
          </c:val>
        </c:ser>
        <c:gapWidth val="150"/>
        <c:overlap val="0"/>
        <c:axId val="34047302"/>
        <c:axId val="58379499"/>
      </c:barChart>
      <c:catAx>
        <c:axId val="340473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79499"/>
        <c:crosses val="autoZero"/>
        <c:auto val="1"/>
        <c:lblAlgn val="ctr"/>
        <c:lblOffset val="100"/>
        <c:noMultiLvlLbl val="0"/>
      </c:catAx>
      <c:valAx>
        <c:axId val="583794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473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percentStacked"/>
        <c:varyColors val="0"/>
        <c:ser>
          <c:idx val="0"/>
          <c:order val="0"/>
          <c:tx>
            <c:strRef>
              <c:f>'Raw Data'!C1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rgbClr val="1f618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Data'!$A$2:$A$14</c:f>
              <c:strCache>
                <c:ptCount val="13"/>
                <c:pt idx="0">
                  <c:v>Engineering</c:v>
                </c:pt>
                <c:pt idx="1">
                  <c:v>Sales</c:v>
                </c:pt>
                <c:pt idx="2">
                  <c:v>HR</c:v>
                </c:pt>
                <c:pt idx="3">
                  <c:v>Marketing</c:v>
                </c:pt>
                <c:pt idx="4">
                  <c:v>Finance</c:v>
                </c:pt>
                <c:pt idx="5">
                  <c:v>Operations</c:v>
                </c:pt>
                <c:pt idx="6">
                  <c:v>Customer Svc</c:v>
                </c:pt>
                <c:pt idx="7">
                  <c:v>Legal</c:v>
                </c:pt>
                <c:pt idx="8">
                  <c:v>IT Support</c:v>
                </c:pt>
                <c:pt idx="9">
                  <c:v>R&amp;D</c:v>
                </c:pt>
                <c:pt idx="10">
                  <c:v>Admin</c:v>
                </c:pt>
                <c:pt idx="11">
                  <c:v>Procurement</c:v>
                </c:pt>
                <c:pt idx="12">
                  <c:v>Design</c:v>
                </c:pt>
              </c:strCache>
            </c:strRef>
          </c:cat>
          <c:val>
            <c:numRef>
              <c:f>'Raw Data'!$C$2:$C$14</c:f>
              <c:numCache>
                <c:formatCode>General</c:formatCode>
                <c:ptCount val="13"/>
                <c:pt idx="0">
                  <c:v>62</c:v>
                </c:pt>
                <c:pt idx="1">
                  <c:v>40</c:v>
                </c:pt>
                <c:pt idx="2">
                  <c:v>11</c:v>
                </c:pt>
                <c:pt idx="3">
                  <c:v>22</c:v>
                </c:pt>
                <c:pt idx="4">
                  <c:v>26</c:v>
                </c:pt>
                <c:pt idx="5">
                  <c:v>38</c:v>
                </c:pt>
                <c:pt idx="6">
                  <c:v>21</c:v>
                </c:pt>
                <c:pt idx="7">
                  <c:v>13</c:v>
                </c:pt>
                <c:pt idx="8">
                  <c:v>28</c:v>
                </c:pt>
                <c:pt idx="9">
                  <c:v>20</c:v>
                </c:pt>
                <c:pt idx="10">
                  <c:v>8</c:v>
                </c:pt>
                <c:pt idx="11">
                  <c:v>11</c:v>
                </c:pt>
                <c:pt idx="12">
                  <c:v>14</c:v>
                </c:pt>
              </c:numCache>
            </c:numRef>
          </c:val>
        </c:ser>
        <c:ser>
          <c:idx val="1"/>
          <c:order val="1"/>
          <c:tx>
            <c:strRef>
              <c:f>'Raw Data'!D1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7d3c9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Data'!$A$2:$A$14</c:f>
              <c:strCache>
                <c:ptCount val="13"/>
                <c:pt idx="0">
                  <c:v>Engineering</c:v>
                </c:pt>
                <c:pt idx="1">
                  <c:v>Sales</c:v>
                </c:pt>
                <c:pt idx="2">
                  <c:v>HR</c:v>
                </c:pt>
                <c:pt idx="3">
                  <c:v>Marketing</c:v>
                </c:pt>
                <c:pt idx="4">
                  <c:v>Finance</c:v>
                </c:pt>
                <c:pt idx="5">
                  <c:v>Operations</c:v>
                </c:pt>
                <c:pt idx="6">
                  <c:v>Customer Svc</c:v>
                </c:pt>
                <c:pt idx="7">
                  <c:v>Legal</c:v>
                </c:pt>
                <c:pt idx="8">
                  <c:v>IT Support</c:v>
                </c:pt>
                <c:pt idx="9">
                  <c:v>R&amp;D</c:v>
                </c:pt>
                <c:pt idx="10">
                  <c:v>Admin</c:v>
                </c:pt>
                <c:pt idx="11">
                  <c:v>Procurement</c:v>
                </c:pt>
                <c:pt idx="12">
                  <c:v>Design</c:v>
                </c:pt>
              </c:strCache>
            </c:strRef>
          </c:cat>
          <c:val>
            <c:numRef>
              <c:f>'Raw Data'!$D$2:$D$14</c:f>
              <c:numCache>
                <c:formatCode>General</c:formatCode>
                <c:ptCount val="13"/>
                <c:pt idx="0">
                  <c:v>30</c:v>
                </c:pt>
                <c:pt idx="1">
                  <c:v>34</c:v>
                </c:pt>
                <c:pt idx="2">
                  <c:v>21</c:v>
                </c:pt>
                <c:pt idx="3">
                  <c:v>26</c:v>
                </c:pt>
                <c:pt idx="4">
                  <c:v>15</c:v>
                </c:pt>
                <c:pt idx="5">
                  <c:v>22</c:v>
                </c:pt>
                <c:pt idx="6">
                  <c:v>34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14</c:v>
                </c:pt>
                <c:pt idx="11">
                  <c:v>7</c:v>
                </c:pt>
                <c:pt idx="12">
                  <c:v>13</c:v>
                </c:pt>
              </c:numCache>
            </c:numRef>
          </c:val>
        </c:ser>
        <c:gapWidth val="150"/>
        <c:overlap val="100"/>
        <c:axId val="4621536"/>
        <c:axId val="44058702"/>
      </c:barChart>
      <c:catAx>
        <c:axId val="462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58702"/>
        <c:crosses val="autoZero"/>
        <c:auto val="1"/>
        <c:lblAlgn val="ctr"/>
        <c:lblOffset val="100"/>
        <c:noMultiLvlLbl val="0"/>
      </c:catAx>
      <c:valAx>
        <c:axId val="440587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[$-409]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15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'Raw Data'!T1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f618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7d3c98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'Raw Data'!$S$2:$S$3</c:f>
              <c:strCache>
                <c:ptCount val="2"/>
                <c:pt idx="0">
                  <c:v>Men</c:v>
                </c:pt>
                <c:pt idx="1">
                  <c:v>Women</c:v>
                </c:pt>
              </c:strCache>
            </c:strRef>
          </c:cat>
          <c:val>
            <c:numRef>
              <c:f>'Raw Data'!$T$2:$T$3</c:f>
              <c:numCache>
                <c:formatCode>General</c:formatCode>
                <c:ptCount val="2"/>
                <c:pt idx="0">
                  <c:v>314</c:v>
                </c:pt>
                <c:pt idx="1">
                  <c:v>246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'Raw Data'!Q1</c:f>
              <c:strCache>
                <c:ptCount val="1"/>
                <c:pt idx="0">
                  <c:v>Left %</c:v>
                </c:pt>
              </c:strCache>
            </c:strRef>
          </c:tx>
          <c:spPr>
            <a:solidFill>
              <a:srgbClr val="c0392b"/>
            </a:solidFill>
            <a:ln w="24840">
              <a:solidFill>
                <a:srgbClr val="c0392b"/>
              </a:solidFill>
              <a:round/>
            </a:ln>
          </c:spPr>
          <c:marker>
            <c:symbol val="circle"/>
            <c:size val="5"/>
            <c:spPr>
              <a:solidFill>
                <a:srgbClr val="c039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Data'!$M$2:$M$13</c:f>
              <c:strCache>
                <c:ptCount val="12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</c:strCache>
            </c:strRef>
          </c:cat>
          <c:val>
            <c:numRef>
              <c:f>'Raw Data'!$Q$2:$Q$13</c:f>
              <c:numCache>
                <c:formatCode>0.0%</c:formatCode>
                <c:ptCount val="12"/>
                <c:pt idx="0">
                  <c:v>0.0238095238095238</c:v>
                </c:pt>
                <c:pt idx="1">
                  <c:v>0.0167464114832536</c:v>
                </c:pt>
                <c:pt idx="2">
                  <c:v>0.0118203309692671</c:v>
                </c:pt>
                <c:pt idx="3">
                  <c:v>0.0186915887850467</c:v>
                </c:pt>
                <c:pt idx="4">
                  <c:v>0.0258215962441315</c:v>
                </c:pt>
                <c:pt idx="5">
                  <c:v>0.014218009478673</c:v>
                </c:pt>
                <c:pt idx="6">
                  <c:v>0.0186046511627907</c:v>
                </c:pt>
                <c:pt idx="7">
                  <c:v>0.0208816705336427</c:v>
                </c:pt>
                <c:pt idx="8">
                  <c:v>0.0300230946882217</c:v>
                </c:pt>
                <c:pt idx="9">
                  <c:v>0.0164319248826291</c:v>
                </c:pt>
                <c:pt idx="10">
                  <c:v>0.0116550116550117</c:v>
                </c:pt>
                <c:pt idx="11">
                  <c:v>0.0137614678899083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'Raw Data'!P1</c:f>
              <c:strCache>
                <c:ptCount val="1"/>
                <c:pt idx="0">
                  <c:v>New Joiners</c:v>
                </c:pt>
              </c:strCache>
            </c:strRef>
          </c:tx>
          <c:spPr>
            <a:solidFill>
              <a:srgbClr val="1e8449"/>
            </a:solidFill>
            <a:ln w="24840">
              <a:solidFill>
                <a:srgbClr val="1e8449"/>
              </a:solidFill>
              <a:round/>
            </a:ln>
          </c:spPr>
          <c:marker>
            <c:symbol val="triangle"/>
            <c:size val="5"/>
            <c:spPr>
              <a:solidFill>
                <a:srgbClr val="1e844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Data'!$M$2:$M$13</c:f>
              <c:strCache>
                <c:ptCount val="12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</c:strCache>
            </c:strRef>
          </c:cat>
          <c:val>
            <c:numRef>
              <c:f>'Raw Data'!$P$2:$P$13</c:f>
              <c:numCache>
                <c:formatCode>General</c:formatCode>
                <c:ptCount val="12"/>
                <c:pt idx="0">
                  <c:v>8</c:v>
                </c:pt>
                <c:pt idx="1">
                  <c:v>12</c:v>
                </c:pt>
                <c:pt idx="2">
                  <c:v>10</c:v>
                </c:pt>
                <c:pt idx="3">
                  <c:v>6</c:v>
                </c:pt>
                <c:pt idx="4">
                  <c:v>7</c:v>
                </c:pt>
                <c:pt idx="5">
                  <c:v>14</c:v>
                </c:pt>
                <c:pt idx="6">
                  <c:v>9</c:v>
                </c:pt>
                <c:pt idx="7">
                  <c:v>11</c:v>
                </c:pt>
                <c:pt idx="8">
                  <c:v>6</c:v>
                </c:pt>
                <c:pt idx="9">
                  <c:v>10</c:v>
                </c:pt>
                <c:pt idx="10">
                  <c:v>12</c:v>
                </c:pt>
                <c:pt idx="11">
                  <c:v>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666972"/>
        <c:axId val="56148055"/>
      </c:lineChart>
      <c:catAx>
        <c:axId val="36669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48055"/>
        <c:crosses val="autoZero"/>
        <c:auto val="1"/>
        <c:lblAlgn val="ctr"/>
        <c:lblOffset val="100"/>
        <c:noMultiLvlLbl val="0"/>
      </c:catAx>
      <c:valAx>
        <c:axId val="561480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69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'Raw Data'!W1</c:f>
              <c:strCache>
                <c:ptCount val="1"/>
                <c:pt idx="0">
                  <c:v>Left %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'Raw Data'!$V$2:$V$14</c:f>
              <c:strCache>
                <c:ptCount val="13"/>
                <c:pt idx="0">
                  <c:v>Engineering</c:v>
                </c:pt>
                <c:pt idx="1">
                  <c:v>Sales</c:v>
                </c:pt>
                <c:pt idx="2">
                  <c:v>HR</c:v>
                </c:pt>
                <c:pt idx="3">
                  <c:v>Marketing</c:v>
                </c:pt>
                <c:pt idx="4">
                  <c:v>Finance</c:v>
                </c:pt>
                <c:pt idx="5">
                  <c:v>Operations</c:v>
                </c:pt>
                <c:pt idx="6">
                  <c:v>Customer Svc</c:v>
                </c:pt>
                <c:pt idx="7">
                  <c:v>Legal</c:v>
                </c:pt>
                <c:pt idx="8">
                  <c:v>IT Support</c:v>
                </c:pt>
                <c:pt idx="9">
                  <c:v>R&amp;D</c:v>
                </c:pt>
                <c:pt idx="10">
                  <c:v>Admin</c:v>
                </c:pt>
                <c:pt idx="11">
                  <c:v>Procurement</c:v>
                </c:pt>
                <c:pt idx="12">
                  <c:v>Design</c:v>
                </c:pt>
              </c:strCache>
            </c:strRef>
          </c:cat>
          <c:val>
            <c:numRef>
              <c:f>'Raw Data'!$W$2:$W$14</c:f>
              <c:numCache>
                <c:formatCode>0.0%</c:formatCode>
                <c:ptCount val="13"/>
                <c:pt idx="0">
                  <c:v>0.108695652173913</c:v>
                </c:pt>
                <c:pt idx="1">
                  <c:v>0.121621621621622</c:v>
                </c:pt>
                <c:pt idx="2">
                  <c:v>0.09375</c:v>
                </c:pt>
                <c:pt idx="3">
                  <c:v>0.104166666666667</c:v>
                </c:pt>
                <c:pt idx="4">
                  <c:v>0.0975609756097561</c:v>
                </c:pt>
                <c:pt idx="5">
                  <c:v>0.116666666666667</c:v>
                </c:pt>
                <c:pt idx="6">
                  <c:v>0.145454545454545</c:v>
                </c:pt>
                <c:pt idx="7">
                  <c:v>0.0833333333333333</c:v>
                </c:pt>
                <c:pt idx="8">
                  <c:v>0.105263157894737</c:v>
                </c:pt>
                <c:pt idx="9">
                  <c:v>0.103448275862069</c:v>
                </c:pt>
                <c:pt idx="10">
                  <c:v>0.0909090909090909</c:v>
                </c:pt>
                <c:pt idx="11">
                  <c:v>0.111111111111111</c:v>
                </c:pt>
                <c:pt idx="12">
                  <c:v>0.111111111111111</c:v>
                </c:pt>
              </c:numCache>
            </c:numRef>
          </c:val>
        </c:ser>
        <c:gapWidth val="150"/>
        <c:overlap val="0"/>
        <c:axId val="94987697"/>
        <c:axId val="50398837"/>
      </c:barChart>
      <c:catAx>
        <c:axId val="949876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98837"/>
        <c:crosses val="autoZero"/>
        <c:auto val="1"/>
        <c:lblAlgn val="ctr"/>
        <c:lblOffset val="100"/>
        <c:noMultiLvlLbl val="0"/>
      </c:catAx>
      <c:valAx>
        <c:axId val="503988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876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17</xdr:col>
      <xdr:colOff>193320</xdr:colOff>
      <xdr:row>30</xdr:row>
      <xdr:rowOff>172440</xdr:rowOff>
    </xdr:to>
    <xdr:graphicFrame>
      <xdr:nvGraphicFramePr>
        <xdr:cNvPr id="0" name="Chart 1"/>
        <xdr:cNvGraphicFramePr/>
      </xdr:nvGraphicFramePr>
      <xdr:xfrm>
        <a:off x="84600" y="2181240"/>
        <a:ext cx="50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8</xdr:row>
      <xdr:rowOff>0</xdr:rowOff>
    </xdr:from>
    <xdr:to>
      <xdr:col>27</xdr:col>
      <xdr:colOff>79200</xdr:colOff>
      <xdr:row>30</xdr:row>
      <xdr:rowOff>172440</xdr:rowOff>
    </xdr:to>
    <xdr:graphicFrame>
      <xdr:nvGraphicFramePr>
        <xdr:cNvPr id="1" name="Chart 2"/>
        <xdr:cNvGraphicFramePr/>
      </xdr:nvGraphicFramePr>
      <xdr:xfrm>
        <a:off x="3719160" y="2181240"/>
        <a:ext cx="43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0</xdr:colOff>
      <xdr:row>8</xdr:row>
      <xdr:rowOff>0</xdr:rowOff>
    </xdr:from>
    <xdr:to>
      <xdr:col>31</xdr:col>
      <xdr:colOff>371880</xdr:colOff>
      <xdr:row>30</xdr:row>
      <xdr:rowOff>172440</xdr:rowOff>
    </xdr:to>
    <xdr:graphicFrame>
      <xdr:nvGraphicFramePr>
        <xdr:cNvPr id="2" name="Chart 3"/>
        <xdr:cNvGraphicFramePr/>
      </xdr:nvGraphicFramePr>
      <xdr:xfrm>
        <a:off x="6445080" y="2181240"/>
        <a:ext cx="28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41</xdr:row>
      <xdr:rowOff>0</xdr:rowOff>
    </xdr:from>
    <xdr:to>
      <xdr:col>22</xdr:col>
      <xdr:colOff>119160</xdr:colOff>
      <xdr:row>60</xdr:row>
      <xdr:rowOff>44640</xdr:rowOff>
    </xdr:to>
    <xdr:graphicFrame>
      <xdr:nvGraphicFramePr>
        <xdr:cNvPr id="3" name="Chart 4"/>
        <xdr:cNvGraphicFramePr/>
      </xdr:nvGraphicFramePr>
      <xdr:xfrm>
        <a:off x="84600" y="942012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0</xdr:colOff>
      <xdr:row>41</xdr:row>
      <xdr:rowOff>0</xdr:rowOff>
    </xdr:from>
    <xdr:to>
      <xdr:col>31</xdr:col>
      <xdr:colOff>51840</xdr:colOff>
      <xdr:row>60</xdr:row>
      <xdr:rowOff>44640</xdr:rowOff>
    </xdr:to>
    <xdr:graphicFrame>
      <xdr:nvGraphicFramePr>
        <xdr:cNvPr id="4" name="Chart 5"/>
        <xdr:cNvGraphicFramePr/>
      </xdr:nvGraphicFramePr>
      <xdr:xfrm>
        <a:off x="4325040" y="9420120"/>
        <a:ext cx="46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5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2"/>
    <col collapsed="false" customWidth="true" hidden="false" outlineLevel="0" max="27" min="2" style="0" width="4.3"/>
    <col collapsed="false" customWidth="true" hidden="false" outlineLevel="0" max="28" min="28" style="0" width="1.2"/>
    <col collapsed="false" customWidth="true" hidden="false" outlineLevel="0" max="31" min="29" style="0" width="4.3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60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</row>
    <row r="3" customFormat="false" ht="9.7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1"/>
    </row>
    <row r="4" customFormat="false" ht="19.5" hidden="false" customHeight="true" outlineLevel="0" collapsed="false">
      <c r="A4" s="1"/>
      <c r="B4" s="4" t="s">
        <v>1</v>
      </c>
      <c r="C4" s="4"/>
      <c r="D4" s="4"/>
      <c r="E4" s="5" t="s">
        <v>2</v>
      </c>
      <c r="F4" s="5"/>
      <c r="G4" s="5"/>
      <c r="H4" s="6" t="s">
        <v>3</v>
      </c>
      <c r="I4" s="6"/>
      <c r="J4" s="6"/>
      <c r="K4" s="7" t="s">
        <v>4</v>
      </c>
      <c r="L4" s="7"/>
      <c r="M4" s="7"/>
      <c r="N4" s="8" t="s">
        <v>5</v>
      </c>
      <c r="O4" s="8"/>
      <c r="P4" s="8"/>
      <c r="Q4" s="9" t="s">
        <v>6</v>
      </c>
      <c r="R4" s="9"/>
      <c r="S4" s="9"/>
      <c r="T4" s="10" t="s">
        <v>7</v>
      </c>
      <c r="U4" s="10"/>
      <c r="V4" s="10"/>
      <c r="W4" s="11" t="s">
        <v>8</v>
      </c>
      <c r="X4" s="11"/>
      <c r="Y4" s="11"/>
      <c r="Z4" s="7" t="s">
        <v>9</v>
      </c>
      <c r="AA4" s="7"/>
      <c r="AB4" s="1"/>
    </row>
    <row r="5" customFormat="false" ht="27.75" hidden="false" customHeight="true" outlineLevel="0" collapsed="false">
      <c r="A5" s="1"/>
      <c r="B5" s="12" t="n">
        <f aca="false">'Raw Data'!B15</f>
        <v>560</v>
      </c>
      <c r="C5" s="12"/>
      <c r="D5" s="12"/>
      <c r="E5" s="13" t="n">
        <f aca="false">'Raw Data'!C15</f>
        <v>314</v>
      </c>
      <c r="F5" s="13"/>
      <c r="G5" s="13"/>
      <c r="H5" s="14" t="n">
        <f aca="false">'Raw Data'!D15</f>
        <v>246</v>
      </c>
      <c r="I5" s="14"/>
      <c r="J5" s="14"/>
      <c r="K5" s="15" t="n">
        <f aca="false">'Raw Data'!G15</f>
        <v>0.560714285714286</v>
      </c>
      <c r="L5" s="15"/>
      <c r="M5" s="15"/>
      <c r="N5" s="16" t="n">
        <f aca="false">'Raw Data'!H15</f>
        <v>0.439285714285714</v>
      </c>
      <c r="O5" s="16"/>
      <c r="P5" s="16"/>
      <c r="Q5" s="17" t="n">
        <f aca="false">'Raw Data'!F15</f>
        <v>0.110714285714286</v>
      </c>
      <c r="R5" s="17"/>
      <c r="S5" s="17"/>
      <c r="T5" s="18" t="n">
        <v>13</v>
      </c>
      <c r="U5" s="18"/>
      <c r="V5" s="18"/>
      <c r="W5" s="19" t="n">
        <f aca="false">'Raw Data'!J15</f>
        <v>3.78461538461539</v>
      </c>
      <c r="X5" s="19"/>
      <c r="Y5" s="19"/>
      <c r="Z5" s="20" t="n">
        <f aca="false">'Raw Data'!I15</f>
        <v>32.3076923076923</v>
      </c>
      <c r="AA5" s="20"/>
      <c r="AB5" s="1"/>
    </row>
    <row r="6" customFormat="false" ht="19.5" hidden="false" customHeight="true" outlineLevel="0" collapsed="false">
      <c r="A6" s="1"/>
      <c r="B6" s="21"/>
      <c r="C6" s="21"/>
      <c r="D6" s="21"/>
      <c r="E6" s="22"/>
      <c r="F6" s="22"/>
      <c r="G6" s="22"/>
      <c r="H6" s="23"/>
      <c r="I6" s="23"/>
      <c r="J6" s="23"/>
      <c r="K6" s="24"/>
      <c r="L6" s="24"/>
      <c r="M6" s="24"/>
      <c r="N6" s="25"/>
      <c r="O6" s="25"/>
      <c r="P6" s="25"/>
      <c r="Q6" s="26"/>
      <c r="R6" s="26"/>
      <c r="S6" s="26"/>
      <c r="T6" s="27"/>
      <c r="U6" s="27"/>
      <c r="V6" s="27"/>
      <c r="W6" s="28"/>
      <c r="X6" s="28"/>
      <c r="Y6" s="28"/>
      <c r="Z6" s="24"/>
      <c r="AA6" s="24"/>
      <c r="AB6" s="1"/>
    </row>
    <row r="7" customFormat="false" ht="9.75" hidden="false" customHeight="true" outlineLevel="0" collapsed="false">
      <c r="A7" s="1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1"/>
    </row>
    <row r="8" customFormat="false" ht="19.5" hidden="false" customHeight="true" outlineLevel="0" collapsed="false">
      <c r="A8" s="1"/>
      <c r="B8" s="30" t="s">
        <v>10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1" t="s">
        <v>11</v>
      </c>
      <c r="O8" s="31"/>
      <c r="P8" s="31"/>
      <c r="Q8" s="31"/>
      <c r="R8" s="31"/>
      <c r="S8" s="31"/>
      <c r="T8" s="31"/>
      <c r="U8" s="31"/>
      <c r="V8" s="31"/>
      <c r="W8" s="32" t="s">
        <v>12</v>
      </c>
      <c r="X8" s="32"/>
      <c r="Y8" s="32"/>
      <c r="Z8" s="32"/>
      <c r="AA8" s="32"/>
      <c r="AB8" s="1"/>
    </row>
    <row r="9" customFormat="false" ht="18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customFormat="false" ht="18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customFormat="false" ht="18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customFormat="false" ht="18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customFormat="false" ht="18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customFormat="false" ht="18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customFormat="false" ht="18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customFormat="false" ht="18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customFormat="false" ht="18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customFormat="false" ht="18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customFormat="false" ht="18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customFormat="false" ht="18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customFormat="false" ht="18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customFormat="false" ht="18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customFormat="false" ht="18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customFormat="false" ht="9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customFormat="false" ht="19.5" hidden="false" customHeight="true" outlineLevel="0" collapsed="false">
      <c r="A25" s="1"/>
      <c r="B25" s="33" t="s">
        <v>13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1"/>
    </row>
    <row r="26" customFormat="false" ht="18" hidden="false" customHeight="true" outlineLevel="0" collapsed="false">
      <c r="A26" s="1"/>
      <c r="B26" s="34" t="s">
        <v>14</v>
      </c>
      <c r="C26" s="34"/>
      <c r="D26" s="34"/>
      <c r="E26" s="35" t="s">
        <v>15</v>
      </c>
      <c r="F26" s="35"/>
      <c r="G26" s="36" t="s">
        <v>16</v>
      </c>
      <c r="H26" s="36"/>
      <c r="I26" s="37" t="s">
        <v>17</v>
      </c>
      <c r="J26" s="37"/>
      <c r="K26" s="36" t="s">
        <v>18</v>
      </c>
      <c r="L26" s="36"/>
      <c r="M26" s="37" t="s">
        <v>19</v>
      </c>
      <c r="N26" s="37"/>
      <c r="O26" s="38" t="s">
        <v>20</v>
      </c>
      <c r="P26" s="38"/>
      <c r="Q26" s="38" t="s">
        <v>21</v>
      </c>
      <c r="R26" s="38"/>
      <c r="S26" s="38"/>
      <c r="T26" s="39" t="s">
        <v>22</v>
      </c>
      <c r="U26" s="39"/>
      <c r="V26" s="39"/>
      <c r="W26" s="40" t="s">
        <v>23</v>
      </c>
      <c r="X26" s="40"/>
      <c r="Y26" s="40"/>
      <c r="Z26" s="1"/>
      <c r="AA26" s="1"/>
      <c r="AB26" s="1"/>
    </row>
    <row r="27" customFormat="false" ht="16.5" hidden="false" customHeight="true" outlineLevel="0" collapsed="false">
      <c r="A27" s="1"/>
      <c r="B27" s="41" t="str">
        <f aca="false">'Raw Data'!A2</f>
        <v>Engineering</v>
      </c>
      <c r="C27" s="41"/>
      <c r="D27" s="41"/>
      <c r="E27" s="42" t="n">
        <f aca="false">'Raw Data'!B2</f>
        <v>92</v>
      </c>
      <c r="F27" s="42"/>
      <c r="G27" s="42" t="n">
        <f aca="false">'Raw Data'!C2</f>
        <v>62</v>
      </c>
      <c r="H27" s="42"/>
      <c r="I27" s="42" t="n">
        <f aca="false">'Raw Data'!D2</f>
        <v>30</v>
      </c>
      <c r="J27" s="42"/>
      <c r="K27" s="43" t="n">
        <f aca="false">'Raw Data'!G2</f>
        <v>0.673913043478261</v>
      </c>
      <c r="L27" s="43"/>
      <c r="M27" s="43" t="n">
        <f aca="false">'Raw Data'!H2</f>
        <v>0.326086956521739</v>
      </c>
      <c r="N27" s="43"/>
      <c r="O27" s="42" t="n">
        <f aca="false">'Raw Data'!E2</f>
        <v>10</v>
      </c>
      <c r="P27" s="42"/>
      <c r="Q27" s="43" t="n">
        <f aca="false">'Raw Data'!F2</f>
        <v>0.108695652173913</v>
      </c>
      <c r="R27" s="43"/>
      <c r="S27" s="43"/>
      <c r="T27" s="44" t="n">
        <f aca="false">'Raw Data'!I2</f>
        <v>31</v>
      </c>
      <c r="U27" s="44"/>
      <c r="V27" s="44"/>
      <c r="W27" s="44" t="n">
        <f aca="false">'Raw Data'!J2</f>
        <v>3.2</v>
      </c>
      <c r="X27" s="44"/>
      <c r="Y27" s="44"/>
      <c r="Z27" s="1"/>
      <c r="AA27" s="1"/>
      <c r="AB27" s="1"/>
    </row>
    <row r="28" customFormat="false" ht="16.5" hidden="false" customHeight="true" outlineLevel="0" collapsed="false">
      <c r="A28" s="1"/>
      <c r="B28" s="45" t="str">
        <f aca="false">'Raw Data'!A3</f>
        <v>Sales</v>
      </c>
      <c r="C28" s="45"/>
      <c r="D28" s="45"/>
      <c r="E28" s="46" t="n">
        <f aca="false">'Raw Data'!B3</f>
        <v>74</v>
      </c>
      <c r="F28" s="46"/>
      <c r="G28" s="46" t="n">
        <f aca="false">'Raw Data'!C3</f>
        <v>40</v>
      </c>
      <c r="H28" s="46"/>
      <c r="I28" s="46" t="n">
        <f aca="false">'Raw Data'!D3</f>
        <v>34</v>
      </c>
      <c r="J28" s="46"/>
      <c r="K28" s="47" t="n">
        <f aca="false">'Raw Data'!G3</f>
        <v>0.540540540540541</v>
      </c>
      <c r="L28" s="47"/>
      <c r="M28" s="47" t="n">
        <f aca="false">'Raw Data'!H3</f>
        <v>0.45945945945946</v>
      </c>
      <c r="N28" s="47"/>
      <c r="O28" s="46" t="n">
        <f aca="false">'Raw Data'!E3</f>
        <v>9</v>
      </c>
      <c r="P28" s="46"/>
      <c r="Q28" s="47" t="n">
        <f aca="false">'Raw Data'!F3</f>
        <v>0.121621621621622</v>
      </c>
      <c r="R28" s="47"/>
      <c r="S28" s="47"/>
      <c r="T28" s="48" t="n">
        <f aca="false">'Raw Data'!I3</f>
        <v>29</v>
      </c>
      <c r="U28" s="48"/>
      <c r="V28" s="48"/>
      <c r="W28" s="48" t="n">
        <f aca="false">'Raw Data'!J3</f>
        <v>2.8</v>
      </c>
      <c r="X28" s="48"/>
      <c r="Y28" s="48"/>
      <c r="Z28" s="1"/>
      <c r="AA28" s="1"/>
      <c r="AB28" s="1"/>
    </row>
    <row r="29" customFormat="false" ht="16.5" hidden="false" customHeight="true" outlineLevel="0" collapsed="false">
      <c r="A29" s="1"/>
      <c r="B29" s="41" t="str">
        <f aca="false">'Raw Data'!A4</f>
        <v>HR</v>
      </c>
      <c r="C29" s="41"/>
      <c r="D29" s="41"/>
      <c r="E29" s="42" t="n">
        <f aca="false">'Raw Data'!B4</f>
        <v>32</v>
      </c>
      <c r="F29" s="42"/>
      <c r="G29" s="42" t="n">
        <f aca="false">'Raw Data'!C4</f>
        <v>11</v>
      </c>
      <c r="H29" s="42"/>
      <c r="I29" s="42" t="n">
        <f aca="false">'Raw Data'!D4</f>
        <v>21</v>
      </c>
      <c r="J29" s="42"/>
      <c r="K29" s="43" t="n">
        <f aca="false">'Raw Data'!G4</f>
        <v>0.34375</v>
      </c>
      <c r="L29" s="43"/>
      <c r="M29" s="43" t="n">
        <f aca="false">'Raw Data'!H4</f>
        <v>0.65625</v>
      </c>
      <c r="N29" s="43"/>
      <c r="O29" s="42" t="n">
        <f aca="false">'Raw Data'!E4</f>
        <v>3</v>
      </c>
      <c r="P29" s="42"/>
      <c r="Q29" s="43" t="n">
        <f aca="false">'Raw Data'!F4</f>
        <v>0.09375</v>
      </c>
      <c r="R29" s="43"/>
      <c r="S29" s="43"/>
      <c r="T29" s="44" t="n">
        <f aca="false">'Raw Data'!I4</f>
        <v>34</v>
      </c>
      <c r="U29" s="44"/>
      <c r="V29" s="44"/>
      <c r="W29" s="44" t="n">
        <f aca="false">'Raw Data'!J4</f>
        <v>4.5</v>
      </c>
      <c r="X29" s="44"/>
      <c r="Y29" s="44"/>
      <c r="Z29" s="1"/>
      <c r="AA29" s="1"/>
      <c r="AB29" s="1"/>
    </row>
    <row r="30" customFormat="false" ht="16.5" hidden="false" customHeight="true" outlineLevel="0" collapsed="false">
      <c r="A30" s="1"/>
      <c r="B30" s="45" t="str">
        <f aca="false">'Raw Data'!A5</f>
        <v>Marketing</v>
      </c>
      <c r="C30" s="45"/>
      <c r="D30" s="45"/>
      <c r="E30" s="46" t="n">
        <f aca="false">'Raw Data'!B5</f>
        <v>48</v>
      </c>
      <c r="F30" s="46"/>
      <c r="G30" s="46" t="n">
        <f aca="false">'Raw Data'!C5</f>
        <v>22</v>
      </c>
      <c r="H30" s="46"/>
      <c r="I30" s="46" t="n">
        <f aca="false">'Raw Data'!D5</f>
        <v>26</v>
      </c>
      <c r="J30" s="46"/>
      <c r="K30" s="47" t="n">
        <f aca="false">'Raw Data'!G5</f>
        <v>0.458333333333333</v>
      </c>
      <c r="L30" s="47"/>
      <c r="M30" s="47" t="n">
        <f aca="false">'Raw Data'!H5</f>
        <v>0.541666666666667</v>
      </c>
      <c r="N30" s="47"/>
      <c r="O30" s="46" t="n">
        <f aca="false">'Raw Data'!E5</f>
        <v>5</v>
      </c>
      <c r="P30" s="46"/>
      <c r="Q30" s="47" t="n">
        <f aca="false">'Raw Data'!F5</f>
        <v>0.104166666666667</v>
      </c>
      <c r="R30" s="47"/>
      <c r="S30" s="47"/>
      <c r="T30" s="48" t="n">
        <f aca="false">'Raw Data'!I5</f>
        <v>30</v>
      </c>
      <c r="U30" s="48"/>
      <c r="V30" s="48"/>
      <c r="W30" s="48" t="n">
        <f aca="false">'Raw Data'!J5</f>
        <v>3</v>
      </c>
      <c r="X30" s="48"/>
      <c r="Y30" s="48"/>
      <c r="Z30" s="1"/>
      <c r="AA30" s="1"/>
      <c r="AB30" s="1"/>
    </row>
    <row r="31" customFormat="false" ht="16.5" hidden="false" customHeight="true" outlineLevel="0" collapsed="false">
      <c r="A31" s="1"/>
      <c r="B31" s="41" t="str">
        <f aca="false">'Raw Data'!A6</f>
        <v>Finance</v>
      </c>
      <c r="C31" s="41"/>
      <c r="D31" s="41"/>
      <c r="E31" s="42" t="n">
        <f aca="false">'Raw Data'!B6</f>
        <v>41</v>
      </c>
      <c r="F31" s="42"/>
      <c r="G31" s="42" t="n">
        <f aca="false">'Raw Data'!C6</f>
        <v>26</v>
      </c>
      <c r="H31" s="42"/>
      <c r="I31" s="42" t="n">
        <f aca="false">'Raw Data'!D6</f>
        <v>15</v>
      </c>
      <c r="J31" s="42"/>
      <c r="K31" s="43" t="n">
        <f aca="false">'Raw Data'!G6</f>
        <v>0.634146341463415</v>
      </c>
      <c r="L31" s="43"/>
      <c r="M31" s="43" t="n">
        <f aca="false">'Raw Data'!H6</f>
        <v>0.365853658536585</v>
      </c>
      <c r="N31" s="43"/>
      <c r="O31" s="42" t="n">
        <f aca="false">'Raw Data'!E6</f>
        <v>4</v>
      </c>
      <c r="P31" s="42"/>
      <c r="Q31" s="43" t="n">
        <f aca="false">'Raw Data'!F6</f>
        <v>0.0975609756097561</v>
      </c>
      <c r="R31" s="43"/>
      <c r="S31" s="43"/>
      <c r="T31" s="44" t="n">
        <f aca="false">'Raw Data'!I6</f>
        <v>36</v>
      </c>
      <c r="U31" s="44"/>
      <c r="V31" s="44"/>
      <c r="W31" s="44" t="n">
        <f aca="false">'Raw Data'!J6</f>
        <v>5.1</v>
      </c>
      <c r="X31" s="44"/>
      <c r="Y31" s="44"/>
      <c r="Z31" s="1"/>
      <c r="AA31" s="1"/>
      <c r="AB31" s="1"/>
    </row>
    <row r="32" customFormat="false" ht="16.5" hidden="false" customHeight="true" outlineLevel="0" collapsed="false">
      <c r="A32" s="1"/>
      <c r="B32" s="45" t="str">
        <f aca="false">'Raw Data'!A7</f>
        <v>Operations</v>
      </c>
      <c r="C32" s="45"/>
      <c r="D32" s="45"/>
      <c r="E32" s="46" t="n">
        <f aca="false">'Raw Data'!B7</f>
        <v>60</v>
      </c>
      <c r="F32" s="46"/>
      <c r="G32" s="46" t="n">
        <f aca="false">'Raw Data'!C7</f>
        <v>38</v>
      </c>
      <c r="H32" s="46"/>
      <c r="I32" s="46" t="n">
        <f aca="false">'Raw Data'!D7</f>
        <v>22</v>
      </c>
      <c r="J32" s="46"/>
      <c r="K32" s="47" t="n">
        <f aca="false">'Raw Data'!G7</f>
        <v>0.633333333333333</v>
      </c>
      <c r="L32" s="47"/>
      <c r="M32" s="47" t="n">
        <f aca="false">'Raw Data'!H7</f>
        <v>0.366666666666667</v>
      </c>
      <c r="N32" s="47"/>
      <c r="O32" s="46" t="n">
        <f aca="false">'Raw Data'!E7</f>
        <v>7</v>
      </c>
      <c r="P32" s="46"/>
      <c r="Q32" s="47" t="n">
        <f aca="false">'Raw Data'!F7</f>
        <v>0.116666666666667</v>
      </c>
      <c r="R32" s="47"/>
      <c r="S32" s="47"/>
      <c r="T32" s="48" t="n">
        <f aca="false">'Raw Data'!I7</f>
        <v>33</v>
      </c>
      <c r="U32" s="48"/>
      <c r="V32" s="48"/>
      <c r="W32" s="48" t="n">
        <f aca="false">'Raw Data'!J7</f>
        <v>3.8</v>
      </c>
      <c r="X32" s="48"/>
      <c r="Y32" s="48"/>
      <c r="Z32" s="1"/>
      <c r="AA32" s="1"/>
      <c r="AB32" s="1"/>
    </row>
    <row r="33" customFormat="false" ht="16.5" hidden="false" customHeight="true" outlineLevel="0" collapsed="false">
      <c r="A33" s="1"/>
      <c r="B33" s="41" t="str">
        <f aca="false">'Raw Data'!A8</f>
        <v>Customer Svc</v>
      </c>
      <c r="C33" s="41"/>
      <c r="D33" s="41"/>
      <c r="E33" s="42" t="n">
        <f aca="false">'Raw Data'!B8</f>
        <v>55</v>
      </c>
      <c r="F33" s="42"/>
      <c r="G33" s="42" t="n">
        <f aca="false">'Raw Data'!C8</f>
        <v>21</v>
      </c>
      <c r="H33" s="42"/>
      <c r="I33" s="42" t="n">
        <f aca="false">'Raw Data'!D8</f>
        <v>34</v>
      </c>
      <c r="J33" s="42"/>
      <c r="K33" s="43" t="n">
        <f aca="false">'Raw Data'!G8</f>
        <v>0.381818181818182</v>
      </c>
      <c r="L33" s="43"/>
      <c r="M33" s="43" t="n">
        <f aca="false">'Raw Data'!H8</f>
        <v>0.618181818181818</v>
      </c>
      <c r="N33" s="43"/>
      <c r="O33" s="42" t="n">
        <f aca="false">'Raw Data'!E8</f>
        <v>8</v>
      </c>
      <c r="P33" s="42"/>
      <c r="Q33" s="43" t="n">
        <f aca="false">'Raw Data'!F8</f>
        <v>0.145454545454545</v>
      </c>
      <c r="R33" s="43"/>
      <c r="S33" s="43"/>
      <c r="T33" s="44" t="n">
        <f aca="false">'Raw Data'!I8</f>
        <v>27</v>
      </c>
      <c r="U33" s="44"/>
      <c r="V33" s="44"/>
      <c r="W33" s="44" t="n">
        <f aca="false">'Raw Data'!J8</f>
        <v>2.1</v>
      </c>
      <c r="X33" s="44"/>
      <c r="Y33" s="44"/>
      <c r="Z33" s="1"/>
      <c r="AA33" s="1"/>
      <c r="AB33" s="1"/>
    </row>
    <row r="34" customFormat="false" ht="16.5" hidden="false" customHeight="true" outlineLevel="0" collapsed="false">
      <c r="A34" s="1"/>
      <c r="B34" s="45" t="str">
        <f aca="false">'Raw Data'!A9</f>
        <v>Legal</v>
      </c>
      <c r="C34" s="45"/>
      <c r="D34" s="45"/>
      <c r="E34" s="46" t="n">
        <f aca="false">'Raw Data'!B9</f>
        <v>24</v>
      </c>
      <c r="F34" s="46"/>
      <c r="G34" s="46" t="n">
        <f aca="false">'Raw Data'!C9</f>
        <v>13</v>
      </c>
      <c r="H34" s="46"/>
      <c r="I34" s="46" t="n">
        <f aca="false">'Raw Data'!D9</f>
        <v>11</v>
      </c>
      <c r="J34" s="46"/>
      <c r="K34" s="47" t="n">
        <f aca="false">'Raw Data'!G9</f>
        <v>0.541666666666667</v>
      </c>
      <c r="L34" s="47"/>
      <c r="M34" s="47" t="n">
        <f aca="false">'Raw Data'!H9</f>
        <v>0.458333333333333</v>
      </c>
      <c r="N34" s="47"/>
      <c r="O34" s="46" t="n">
        <f aca="false">'Raw Data'!E9</f>
        <v>2</v>
      </c>
      <c r="P34" s="46"/>
      <c r="Q34" s="47" t="n">
        <f aca="false">'Raw Data'!F9</f>
        <v>0.0833333333333333</v>
      </c>
      <c r="R34" s="47"/>
      <c r="S34" s="47"/>
      <c r="T34" s="48" t="n">
        <f aca="false">'Raw Data'!I9</f>
        <v>38</v>
      </c>
      <c r="U34" s="48"/>
      <c r="V34" s="48"/>
      <c r="W34" s="48" t="n">
        <f aca="false">'Raw Data'!J9</f>
        <v>6.2</v>
      </c>
      <c r="X34" s="48"/>
      <c r="Y34" s="48"/>
      <c r="Z34" s="1"/>
      <c r="AA34" s="1"/>
      <c r="AB34" s="1"/>
    </row>
    <row r="35" customFormat="false" ht="16.5" hidden="false" customHeight="true" outlineLevel="0" collapsed="false">
      <c r="A35" s="1"/>
      <c r="B35" s="41" t="str">
        <f aca="false">'Raw Data'!A10</f>
        <v>IT Support</v>
      </c>
      <c r="C35" s="41"/>
      <c r="D35" s="41"/>
      <c r="E35" s="42" t="n">
        <f aca="false">'Raw Data'!B10</f>
        <v>38</v>
      </c>
      <c r="F35" s="42"/>
      <c r="G35" s="42" t="n">
        <f aca="false">'Raw Data'!C10</f>
        <v>28</v>
      </c>
      <c r="H35" s="42"/>
      <c r="I35" s="42" t="n">
        <f aca="false">'Raw Data'!D10</f>
        <v>10</v>
      </c>
      <c r="J35" s="42"/>
      <c r="K35" s="43" t="n">
        <f aca="false">'Raw Data'!G10</f>
        <v>0.736842105263158</v>
      </c>
      <c r="L35" s="43"/>
      <c r="M35" s="43" t="n">
        <f aca="false">'Raw Data'!H10</f>
        <v>0.263157894736842</v>
      </c>
      <c r="N35" s="43"/>
      <c r="O35" s="42" t="n">
        <f aca="false">'Raw Data'!E10</f>
        <v>4</v>
      </c>
      <c r="P35" s="42"/>
      <c r="Q35" s="43" t="n">
        <f aca="false">'Raw Data'!F10</f>
        <v>0.105263157894737</v>
      </c>
      <c r="R35" s="43"/>
      <c r="S35" s="43"/>
      <c r="T35" s="44" t="n">
        <f aca="false">'Raw Data'!I10</f>
        <v>28</v>
      </c>
      <c r="U35" s="44"/>
      <c r="V35" s="44"/>
      <c r="W35" s="44" t="n">
        <f aca="false">'Raw Data'!J10</f>
        <v>2.5</v>
      </c>
      <c r="X35" s="44"/>
      <c r="Y35" s="44"/>
      <c r="Z35" s="1"/>
      <c r="AA35" s="1"/>
      <c r="AB35" s="1"/>
    </row>
    <row r="36" customFormat="false" ht="16.5" hidden="false" customHeight="true" outlineLevel="0" collapsed="false">
      <c r="A36" s="1"/>
      <c r="B36" s="45" t="str">
        <f aca="false">'Raw Data'!A11</f>
        <v>R&amp;D</v>
      </c>
      <c r="C36" s="45"/>
      <c r="D36" s="45"/>
      <c r="E36" s="46" t="n">
        <f aca="false">'Raw Data'!B11</f>
        <v>29</v>
      </c>
      <c r="F36" s="46"/>
      <c r="G36" s="46" t="n">
        <f aca="false">'Raw Data'!C11</f>
        <v>20</v>
      </c>
      <c r="H36" s="46"/>
      <c r="I36" s="46" t="n">
        <f aca="false">'Raw Data'!D11</f>
        <v>9</v>
      </c>
      <c r="J36" s="46"/>
      <c r="K36" s="47" t="n">
        <f aca="false">'Raw Data'!G11</f>
        <v>0.689655172413793</v>
      </c>
      <c r="L36" s="47"/>
      <c r="M36" s="47" t="n">
        <f aca="false">'Raw Data'!H11</f>
        <v>0.310344827586207</v>
      </c>
      <c r="N36" s="47"/>
      <c r="O36" s="46" t="n">
        <f aca="false">'Raw Data'!E11</f>
        <v>3</v>
      </c>
      <c r="P36" s="46"/>
      <c r="Q36" s="47" t="n">
        <f aca="false">'Raw Data'!F11</f>
        <v>0.103448275862069</v>
      </c>
      <c r="R36" s="47"/>
      <c r="S36" s="47"/>
      <c r="T36" s="48" t="n">
        <f aca="false">'Raw Data'!I11</f>
        <v>35</v>
      </c>
      <c r="U36" s="48"/>
      <c r="V36" s="48"/>
      <c r="W36" s="48" t="n">
        <f aca="false">'Raw Data'!J11</f>
        <v>4</v>
      </c>
      <c r="X36" s="48"/>
      <c r="Y36" s="48"/>
      <c r="Z36" s="1"/>
      <c r="AA36" s="1"/>
      <c r="AB36" s="1"/>
    </row>
    <row r="37" customFormat="false" ht="16.5" hidden="false" customHeight="true" outlineLevel="0" collapsed="false">
      <c r="A37" s="1"/>
      <c r="B37" s="41" t="str">
        <f aca="false">'Raw Data'!A12</f>
        <v>Admin</v>
      </c>
      <c r="C37" s="41"/>
      <c r="D37" s="41"/>
      <c r="E37" s="42" t="n">
        <f aca="false">'Raw Data'!B12</f>
        <v>22</v>
      </c>
      <c r="F37" s="42"/>
      <c r="G37" s="42" t="n">
        <f aca="false">'Raw Data'!C12</f>
        <v>8</v>
      </c>
      <c r="H37" s="42"/>
      <c r="I37" s="42" t="n">
        <f aca="false">'Raw Data'!D12</f>
        <v>14</v>
      </c>
      <c r="J37" s="42"/>
      <c r="K37" s="43" t="n">
        <f aca="false">'Raw Data'!G12</f>
        <v>0.363636363636364</v>
      </c>
      <c r="L37" s="43"/>
      <c r="M37" s="43" t="n">
        <f aca="false">'Raw Data'!H12</f>
        <v>0.636363636363636</v>
      </c>
      <c r="N37" s="43"/>
      <c r="O37" s="42" t="n">
        <f aca="false">'Raw Data'!E12</f>
        <v>2</v>
      </c>
      <c r="P37" s="42"/>
      <c r="Q37" s="43" t="n">
        <f aca="false">'Raw Data'!F12</f>
        <v>0.0909090909090909</v>
      </c>
      <c r="R37" s="43"/>
      <c r="S37" s="43"/>
      <c r="T37" s="44" t="n">
        <f aca="false">'Raw Data'!I12</f>
        <v>32</v>
      </c>
      <c r="U37" s="44"/>
      <c r="V37" s="44"/>
      <c r="W37" s="44" t="n">
        <f aca="false">'Raw Data'!J12</f>
        <v>3.6</v>
      </c>
      <c r="X37" s="44"/>
      <c r="Y37" s="44"/>
      <c r="Z37" s="1"/>
      <c r="AA37" s="1"/>
      <c r="AB37" s="1"/>
    </row>
    <row r="38" customFormat="false" ht="16.5" hidden="false" customHeight="true" outlineLevel="0" collapsed="false">
      <c r="A38" s="1"/>
      <c r="B38" s="45" t="str">
        <f aca="false">'Raw Data'!A13</f>
        <v>Procurement</v>
      </c>
      <c r="C38" s="45"/>
      <c r="D38" s="45"/>
      <c r="E38" s="46" t="n">
        <f aca="false">'Raw Data'!B13</f>
        <v>18</v>
      </c>
      <c r="F38" s="46"/>
      <c r="G38" s="46" t="n">
        <f aca="false">'Raw Data'!C13</f>
        <v>11</v>
      </c>
      <c r="H38" s="46"/>
      <c r="I38" s="46" t="n">
        <f aca="false">'Raw Data'!D13</f>
        <v>7</v>
      </c>
      <c r="J38" s="46"/>
      <c r="K38" s="47" t="n">
        <f aca="false">'Raw Data'!G13</f>
        <v>0.611111111111111</v>
      </c>
      <c r="L38" s="47"/>
      <c r="M38" s="47" t="n">
        <f aca="false">'Raw Data'!H13</f>
        <v>0.388888888888889</v>
      </c>
      <c r="N38" s="47"/>
      <c r="O38" s="46" t="n">
        <f aca="false">'Raw Data'!E13</f>
        <v>2</v>
      </c>
      <c r="P38" s="46"/>
      <c r="Q38" s="47" t="n">
        <f aca="false">'Raw Data'!F13</f>
        <v>0.111111111111111</v>
      </c>
      <c r="R38" s="47"/>
      <c r="S38" s="47"/>
      <c r="T38" s="48" t="n">
        <f aca="false">'Raw Data'!I13</f>
        <v>37</v>
      </c>
      <c r="U38" s="48"/>
      <c r="V38" s="48"/>
      <c r="W38" s="48" t="n">
        <f aca="false">'Raw Data'!J13</f>
        <v>5.5</v>
      </c>
      <c r="X38" s="48"/>
      <c r="Y38" s="48"/>
      <c r="Z38" s="1"/>
      <c r="AA38" s="1"/>
      <c r="AB38" s="1"/>
    </row>
    <row r="39" customFormat="false" ht="16.5" hidden="false" customHeight="true" outlineLevel="0" collapsed="false">
      <c r="A39" s="1"/>
      <c r="B39" s="41" t="str">
        <f aca="false">'Raw Data'!A14</f>
        <v>Design</v>
      </c>
      <c r="C39" s="41"/>
      <c r="D39" s="41"/>
      <c r="E39" s="42" t="n">
        <f aca="false">'Raw Data'!B14</f>
        <v>27</v>
      </c>
      <c r="F39" s="42"/>
      <c r="G39" s="42" t="n">
        <f aca="false">'Raw Data'!C14</f>
        <v>14</v>
      </c>
      <c r="H39" s="42"/>
      <c r="I39" s="42" t="n">
        <f aca="false">'Raw Data'!D14</f>
        <v>13</v>
      </c>
      <c r="J39" s="42"/>
      <c r="K39" s="43" t="n">
        <f aca="false">'Raw Data'!G14</f>
        <v>0.518518518518519</v>
      </c>
      <c r="L39" s="43"/>
      <c r="M39" s="43" t="n">
        <f aca="false">'Raw Data'!H14</f>
        <v>0.481481481481481</v>
      </c>
      <c r="N39" s="43"/>
      <c r="O39" s="42" t="n">
        <f aca="false">'Raw Data'!E14</f>
        <v>3</v>
      </c>
      <c r="P39" s="42"/>
      <c r="Q39" s="43" t="n">
        <f aca="false">'Raw Data'!F14</f>
        <v>0.111111111111111</v>
      </c>
      <c r="R39" s="43"/>
      <c r="S39" s="43"/>
      <c r="T39" s="44" t="n">
        <f aca="false">'Raw Data'!I14</f>
        <v>30</v>
      </c>
      <c r="U39" s="44"/>
      <c r="V39" s="44"/>
      <c r="W39" s="44" t="n">
        <f aca="false">'Raw Data'!J14</f>
        <v>2.9</v>
      </c>
      <c r="X39" s="44"/>
      <c r="Y39" s="44"/>
      <c r="Z39" s="1"/>
      <c r="AA39" s="1"/>
      <c r="AB39" s="1"/>
    </row>
    <row r="40" customFormat="false" ht="18.75" hidden="false" customHeight="true" outlineLevel="0" collapsed="false">
      <c r="A40" s="1"/>
      <c r="B40" s="49" t="s">
        <v>24</v>
      </c>
      <c r="C40" s="49"/>
      <c r="D40" s="49"/>
      <c r="E40" s="50" t="n">
        <f aca="false">'Raw Data'!B15</f>
        <v>560</v>
      </c>
      <c r="F40" s="50"/>
      <c r="G40" s="50" t="n">
        <f aca="false">'Raw Data'!C15</f>
        <v>314</v>
      </c>
      <c r="H40" s="50"/>
      <c r="I40" s="50" t="n">
        <f aca="false">'Raw Data'!D15</f>
        <v>246</v>
      </c>
      <c r="J40" s="50"/>
      <c r="K40" s="51" t="n">
        <f aca="false">'Raw Data'!G15</f>
        <v>0.560714285714286</v>
      </c>
      <c r="L40" s="51"/>
      <c r="M40" s="51" t="n">
        <f aca="false">'Raw Data'!H15</f>
        <v>0.439285714285714</v>
      </c>
      <c r="N40" s="51"/>
      <c r="O40" s="50" t="n">
        <f aca="false">'Raw Data'!E15</f>
        <v>62</v>
      </c>
      <c r="P40" s="50"/>
      <c r="Q40" s="51" t="n">
        <f aca="false">'Raw Data'!F15</f>
        <v>0.110714285714286</v>
      </c>
      <c r="R40" s="51"/>
      <c r="S40" s="51"/>
      <c r="T40" s="52" t="n">
        <f aca="false">'Raw Data'!I15</f>
        <v>32.3076923076923</v>
      </c>
      <c r="U40" s="52"/>
      <c r="V40" s="52"/>
      <c r="W40" s="52" t="n">
        <f aca="false">'Raw Data'!J15</f>
        <v>3.78461538461539</v>
      </c>
      <c r="X40" s="52"/>
      <c r="Y40" s="52"/>
      <c r="Z40" s="1"/>
      <c r="AA40" s="1"/>
      <c r="AB40" s="1"/>
    </row>
    <row r="41" customFormat="false" ht="19.5" hidden="false" customHeight="true" outlineLevel="0" collapsed="false">
      <c r="A41" s="1"/>
      <c r="B41" s="30" t="s">
        <v>25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53" t="s">
        <v>26</v>
      </c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customFormat="false" ht="9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customFormat="false" ht="13.5" hidden="false" customHeight="true" outlineLevel="0" collapsed="false">
      <c r="A53" s="1"/>
      <c r="B53" s="54" t="s">
        <v>27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</sheetData>
  <mergeCells count="186">
    <mergeCell ref="B2:AA2"/>
    <mergeCell ref="B3:AA3"/>
    <mergeCell ref="B4:D4"/>
    <mergeCell ref="E4:G4"/>
    <mergeCell ref="H4:J4"/>
    <mergeCell ref="K4:M4"/>
    <mergeCell ref="N4:P4"/>
    <mergeCell ref="Q4:S4"/>
    <mergeCell ref="T4:V4"/>
    <mergeCell ref="W4:Y4"/>
    <mergeCell ref="Z4:AA4"/>
    <mergeCell ref="B5:D5"/>
    <mergeCell ref="E5:G5"/>
    <mergeCell ref="H5:J5"/>
    <mergeCell ref="K5:M5"/>
    <mergeCell ref="N5:P5"/>
    <mergeCell ref="Q5:S5"/>
    <mergeCell ref="T5:V5"/>
    <mergeCell ref="W5:Y5"/>
    <mergeCell ref="Z5:AA5"/>
    <mergeCell ref="B6:D6"/>
    <mergeCell ref="E6:G6"/>
    <mergeCell ref="H6:J6"/>
    <mergeCell ref="K6:M6"/>
    <mergeCell ref="N6:P6"/>
    <mergeCell ref="Q6:S6"/>
    <mergeCell ref="T6:V6"/>
    <mergeCell ref="W6:Y6"/>
    <mergeCell ref="Z6:AA6"/>
    <mergeCell ref="B8:M8"/>
    <mergeCell ref="N8:V8"/>
    <mergeCell ref="W8:AA8"/>
    <mergeCell ref="B25:AA25"/>
    <mergeCell ref="B26:D26"/>
    <mergeCell ref="E26:F26"/>
    <mergeCell ref="G26:H26"/>
    <mergeCell ref="I26:J26"/>
    <mergeCell ref="K26:L26"/>
    <mergeCell ref="M26:N26"/>
    <mergeCell ref="O26:P26"/>
    <mergeCell ref="Q26:S26"/>
    <mergeCell ref="T26:V26"/>
    <mergeCell ref="W26:Y26"/>
    <mergeCell ref="B27:D27"/>
    <mergeCell ref="E27:F27"/>
    <mergeCell ref="G27:H27"/>
    <mergeCell ref="I27:J27"/>
    <mergeCell ref="K27:L27"/>
    <mergeCell ref="M27:N27"/>
    <mergeCell ref="O27:P27"/>
    <mergeCell ref="Q27:S27"/>
    <mergeCell ref="T27:V27"/>
    <mergeCell ref="W27:Y27"/>
    <mergeCell ref="B28:D28"/>
    <mergeCell ref="E28:F28"/>
    <mergeCell ref="G28:H28"/>
    <mergeCell ref="I28:J28"/>
    <mergeCell ref="K28:L28"/>
    <mergeCell ref="M28:N28"/>
    <mergeCell ref="O28:P28"/>
    <mergeCell ref="Q28:S28"/>
    <mergeCell ref="T28:V28"/>
    <mergeCell ref="W28:Y28"/>
    <mergeCell ref="B29:D29"/>
    <mergeCell ref="E29:F29"/>
    <mergeCell ref="G29:H29"/>
    <mergeCell ref="I29:J29"/>
    <mergeCell ref="K29:L29"/>
    <mergeCell ref="M29:N29"/>
    <mergeCell ref="O29:P29"/>
    <mergeCell ref="Q29:S29"/>
    <mergeCell ref="T29:V29"/>
    <mergeCell ref="W29:Y29"/>
    <mergeCell ref="B30:D30"/>
    <mergeCell ref="E30:F30"/>
    <mergeCell ref="G30:H30"/>
    <mergeCell ref="I30:J30"/>
    <mergeCell ref="K30:L30"/>
    <mergeCell ref="M30:N30"/>
    <mergeCell ref="O30:P30"/>
    <mergeCell ref="Q30:S30"/>
    <mergeCell ref="T30:V30"/>
    <mergeCell ref="W30:Y30"/>
    <mergeCell ref="B31:D31"/>
    <mergeCell ref="E31:F31"/>
    <mergeCell ref="G31:H31"/>
    <mergeCell ref="I31:J31"/>
    <mergeCell ref="K31:L31"/>
    <mergeCell ref="M31:N31"/>
    <mergeCell ref="O31:P31"/>
    <mergeCell ref="Q31:S31"/>
    <mergeCell ref="T31:V31"/>
    <mergeCell ref="W31:Y31"/>
    <mergeCell ref="B32:D32"/>
    <mergeCell ref="E32:F32"/>
    <mergeCell ref="G32:H32"/>
    <mergeCell ref="I32:J32"/>
    <mergeCell ref="K32:L32"/>
    <mergeCell ref="M32:N32"/>
    <mergeCell ref="O32:P32"/>
    <mergeCell ref="Q32:S32"/>
    <mergeCell ref="T32:V32"/>
    <mergeCell ref="W32:Y32"/>
    <mergeCell ref="B33:D33"/>
    <mergeCell ref="E33:F33"/>
    <mergeCell ref="G33:H33"/>
    <mergeCell ref="I33:J33"/>
    <mergeCell ref="K33:L33"/>
    <mergeCell ref="M33:N33"/>
    <mergeCell ref="O33:P33"/>
    <mergeCell ref="Q33:S33"/>
    <mergeCell ref="T33:V33"/>
    <mergeCell ref="W33:Y33"/>
    <mergeCell ref="B34:D34"/>
    <mergeCell ref="E34:F34"/>
    <mergeCell ref="G34:H34"/>
    <mergeCell ref="I34:J34"/>
    <mergeCell ref="K34:L34"/>
    <mergeCell ref="M34:N34"/>
    <mergeCell ref="O34:P34"/>
    <mergeCell ref="Q34:S34"/>
    <mergeCell ref="T34:V34"/>
    <mergeCell ref="W34:Y34"/>
    <mergeCell ref="B35:D35"/>
    <mergeCell ref="E35:F35"/>
    <mergeCell ref="G35:H35"/>
    <mergeCell ref="I35:J35"/>
    <mergeCell ref="K35:L35"/>
    <mergeCell ref="M35:N35"/>
    <mergeCell ref="O35:P35"/>
    <mergeCell ref="Q35:S35"/>
    <mergeCell ref="T35:V35"/>
    <mergeCell ref="W35:Y35"/>
    <mergeCell ref="B36:D36"/>
    <mergeCell ref="E36:F36"/>
    <mergeCell ref="G36:H36"/>
    <mergeCell ref="I36:J36"/>
    <mergeCell ref="K36:L36"/>
    <mergeCell ref="M36:N36"/>
    <mergeCell ref="O36:P36"/>
    <mergeCell ref="Q36:S36"/>
    <mergeCell ref="T36:V36"/>
    <mergeCell ref="W36:Y36"/>
    <mergeCell ref="B37:D37"/>
    <mergeCell ref="E37:F37"/>
    <mergeCell ref="G37:H37"/>
    <mergeCell ref="I37:J37"/>
    <mergeCell ref="K37:L37"/>
    <mergeCell ref="M37:N37"/>
    <mergeCell ref="O37:P37"/>
    <mergeCell ref="Q37:S37"/>
    <mergeCell ref="T37:V37"/>
    <mergeCell ref="W37:Y37"/>
    <mergeCell ref="B38:D38"/>
    <mergeCell ref="E38:F38"/>
    <mergeCell ref="G38:H38"/>
    <mergeCell ref="I38:J38"/>
    <mergeCell ref="K38:L38"/>
    <mergeCell ref="M38:N38"/>
    <mergeCell ref="O38:P38"/>
    <mergeCell ref="Q38:S38"/>
    <mergeCell ref="T38:V38"/>
    <mergeCell ref="W38:Y38"/>
    <mergeCell ref="B39:D39"/>
    <mergeCell ref="E39:F39"/>
    <mergeCell ref="G39:H39"/>
    <mergeCell ref="I39:J39"/>
    <mergeCell ref="K39:L39"/>
    <mergeCell ref="M39:N39"/>
    <mergeCell ref="O39:P39"/>
    <mergeCell ref="Q39:S39"/>
    <mergeCell ref="T39:V39"/>
    <mergeCell ref="W39:Y39"/>
    <mergeCell ref="B40:D40"/>
    <mergeCell ref="E40:F40"/>
    <mergeCell ref="G40:H40"/>
    <mergeCell ref="I40:J40"/>
    <mergeCell ref="K40:L40"/>
    <mergeCell ref="M40:N40"/>
    <mergeCell ref="O40:P40"/>
    <mergeCell ref="Q40:S40"/>
    <mergeCell ref="T40:V40"/>
    <mergeCell ref="W40:Y40"/>
    <mergeCell ref="B41:O41"/>
    <mergeCell ref="P41:AA41"/>
    <mergeCell ref="B53:AA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4" min="13" style="0" width="12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20" min="19" style="0" width="10"/>
    <col collapsed="false" customWidth="true" hidden="false" outlineLevel="0" max="22" min="22" style="0" width="16"/>
    <col collapsed="false" customWidth="true" hidden="false" outlineLevel="0" max="23" min="23" style="0" width="12"/>
  </cols>
  <sheetData>
    <row r="1" customFormat="false" ht="15" hidden="false" customHeight="false" outlineLevel="0" collapsed="false">
      <c r="A1" s="55" t="s">
        <v>28</v>
      </c>
      <c r="B1" s="55" t="s">
        <v>15</v>
      </c>
      <c r="C1" s="55" t="s">
        <v>16</v>
      </c>
      <c r="D1" s="55" t="s">
        <v>17</v>
      </c>
      <c r="E1" s="55" t="s">
        <v>29</v>
      </c>
      <c r="F1" s="55" t="s">
        <v>21</v>
      </c>
      <c r="G1" s="55" t="s">
        <v>18</v>
      </c>
      <c r="H1" s="55" t="s">
        <v>19</v>
      </c>
      <c r="I1" s="55" t="s">
        <v>22</v>
      </c>
      <c r="J1" s="55" t="s">
        <v>30</v>
      </c>
      <c r="M1" s="56" t="s">
        <v>31</v>
      </c>
      <c r="N1" s="56" t="s">
        <v>15</v>
      </c>
      <c r="O1" s="56" t="s">
        <v>29</v>
      </c>
      <c r="P1" s="56" t="s">
        <v>32</v>
      </c>
      <c r="Q1" s="56" t="s">
        <v>21</v>
      </c>
      <c r="S1" s="57" t="s">
        <v>33</v>
      </c>
      <c r="T1" s="57" t="s">
        <v>34</v>
      </c>
      <c r="V1" s="58" t="s">
        <v>35</v>
      </c>
      <c r="W1" s="58" t="s">
        <v>21</v>
      </c>
    </row>
    <row r="2" customFormat="false" ht="15" hidden="false" customHeight="false" outlineLevel="0" collapsed="false">
      <c r="A2" s="59" t="s">
        <v>36</v>
      </c>
      <c r="B2" s="59" t="n">
        <v>92</v>
      </c>
      <c r="C2" s="59" t="n">
        <v>62</v>
      </c>
      <c r="D2" s="59" t="n">
        <v>30</v>
      </c>
      <c r="E2" s="59" t="n">
        <v>10</v>
      </c>
      <c r="F2" s="60" t="n">
        <f aca="false">E2/B2</f>
        <v>0.108695652173913</v>
      </c>
      <c r="G2" s="60" t="n">
        <f aca="false">C2/B2</f>
        <v>0.673913043478261</v>
      </c>
      <c r="H2" s="60" t="n">
        <f aca="false">D2/B2</f>
        <v>0.326086956521739</v>
      </c>
      <c r="I2" s="59" t="n">
        <v>31</v>
      </c>
      <c r="J2" s="59" t="n">
        <v>3.2</v>
      </c>
      <c r="M2" s="59" t="s">
        <v>37</v>
      </c>
      <c r="N2" s="59" t="n">
        <v>420</v>
      </c>
      <c r="O2" s="59" t="n">
        <v>10</v>
      </c>
      <c r="P2" s="59" t="n">
        <v>8</v>
      </c>
      <c r="Q2" s="60" t="n">
        <f aca="false">O2/N2</f>
        <v>0.0238095238095238</v>
      </c>
      <c r="S2" s="61" t="s">
        <v>16</v>
      </c>
      <c r="T2" s="62" t="n">
        <f aca="false">C15</f>
        <v>314</v>
      </c>
      <c r="V2" s="58" t="s">
        <v>36</v>
      </c>
      <c r="W2" s="63" t="n">
        <f aca="false">F2</f>
        <v>0.108695652173913</v>
      </c>
    </row>
    <row r="3" customFormat="false" ht="15" hidden="false" customHeight="false" outlineLevel="0" collapsed="false">
      <c r="A3" s="59" t="s">
        <v>38</v>
      </c>
      <c r="B3" s="59" t="n">
        <v>74</v>
      </c>
      <c r="C3" s="59" t="n">
        <v>40</v>
      </c>
      <c r="D3" s="59" t="n">
        <v>34</v>
      </c>
      <c r="E3" s="59" t="n">
        <v>9</v>
      </c>
      <c r="F3" s="60" t="n">
        <f aca="false">E3/B3</f>
        <v>0.121621621621622</v>
      </c>
      <c r="G3" s="60" t="n">
        <f aca="false">C3/B3</f>
        <v>0.540540540540541</v>
      </c>
      <c r="H3" s="60" t="n">
        <f aca="false">D3/B3</f>
        <v>0.45945945945946</v>
      </c>
      <c r="I3" s="59" t="n">
        <v>29</v>
      </c>
      <c r="J3" s="59" t="n">
        <v>2.8</v>
      </c>
      <c r="M3" s="59" t="s">
        <v>39</v>
      </c>
      <c r="N3" s="59" t="n">
        <v>418</v>
      </c>
      <c r="O3" s="59" t="n">
        <v>7</v>
      </c>
      <c r="P3" s="59" t="n">
        <v>12</v>
      </c>
      <c r="Q3" s="60" t="n">
        <f aca="false">O3/N3</f>
        <v>0.0167464114832536</v>
      </c>
      <c r="S3" s="61" t="s">
        <v>17</v>
      </c>
      <c r="T3" s="62" t="n">
        <f aca="false">D15</f>
        <v>246</v>
      </c>
      <c r="V3" s="58" t="s">
        <v>38</v>
      </c>
      <c r="W3" s="63" t="n">
        <f aca="false">F3</f>
        <v>0.121621621621622</v>
      </c>
    </row>
    <row r="4" customFormat="false" ht="15" hidden="false" customHeight="false" outlineLevel="0" collapsed="false">
      <c r="A4" s="59" t="s">
        <v>40</v>
      </c>
      <c r="B4" s="59" t="n">
        <v>32</v>
      </c>
      <c r="C4" s="59" t="n">
        <v>11</v>
      </c>
      <c r="D4" s="59" t="n">
        <v>21</v>
      </c>
      <c r="E4" s="59" t="n">
        <v>3</v>
      </c>
      <c r="F4" s="60" t="n">
        <f aca="false">E4/B4</f>
        <v>0.09375</v>
      </c>
      <c r="G4" s="60" t="n">
        <f aca="false">C4/B4</f>
        <v>0.34375</v>
      </c>
      <c r="H4" s="60" t="n">
        <f aca="false">D4/B4</f>
        <v>0.65625</v>
      </c>
      <c r="I4" s="59" t="n">
        <v>34</v>
      </c>
      <c r="J4" s="59" t="n">
        <v>4.5</v>
      </c>
      <c r="M4" s="59" t="s">
        <v>41</v>
      </c>
      <c r="N4" s="59" t="n">
        <v>423</v>
      </c>
      <c r="O4" s="59" t="n">
        <v>5</v>
      </c>
      <c r="P4" s="59" t="n">
        <v>10</v>
      </c>
      <c r="Q4" s="60" t="n">
        <f aca="false">O4/N4</f>
        <v>0.0118203309692671</v>
      </c>
      <c r="V4" s="58" t="s">
        <v>40</v>
      </c>
      <c r="W4" s="63" t="n">
        <f aca="false">F4</f>
        <v>0.09375</v>
      </c>
    </row>
    <row r="5" customFormat="false" ht="15" hidden="false" customHeight="false" outlineLevel="0" collapsed="false">
      <c r="A5" s="59" t="s">
        <v>42</v>
      </c>
      <c r="B5" s="59" t="n">
        <v>48</v>
      </c>
      <c r="C5" s="59" t="n">
        <v>22</v>
      </c>
      <c r="D5" s="59" t="n">
        <v>26</v>
      </c>
      <c r="E5" s="59" t="n">
        <v>5</v>
      </c>
      <c r="F5" s="60" t="n">
        <f aca="false">E5/B5</f>
        <v>0.104166666666667</v>
      </c>
      <c r="G5" s="60" t="n">
        <f aca="false">C5/B5</f>
        <v>0.458333333333333</v>
      </c>
      <c r="H5" s="60" t="n">
        <f aca="false">D5/B5</f>
        <v>0.541666666666667</v>
      </c>
      <c r="I5" s="59" t="n">
        <v>30</v>
      </c>
      <c r="J5" s="59" t="n">
        <v>3</v>
      </c>
      <c r="M5" s="59" t="s">
        <v>43</v>
      </c>
      <c r="N5" s="59" t="n">
        <v>428</v>
      </c>
      <c r="O5" s="59" t="n">
        <v>8</v>
      </c>
      <c r="P5" s="59" t="n">
        <v>6</v>
      </c>
      <c r="Q5" s="60" t="n">
        <f aca="false">O5/N5</f>
        <v>0.0186915887850467</v>
      </c>
      <c r="V5" s="58" t="s">
        <v>42</v>
      </c>
      <c r="W5" s="63" t="n">
        <f aca="false">F5</f>
        <v>0.104166666666667</v>
      </c>
    </row>
    <row r="6" customFormat="false" ht="15" hidden="false" customHeight="false" outlineLevel="0" collapsed="false">
      <c r="A6" s="59" t="s">
        <v>44</v>
      </c>
      <c r="B6" s="59" t="n">
        <v>41</v>
      </c>
      <c r="C6" s="59" t="n">
        <v>26</v>
      </c>
      <c r="D6" s="59" t="n">
        <v>15</v>
      </c>
      <c r="E6" s="59" t="n">
        <v>4</v>
      </c>
      <c r="F6" s="60" t="n">
        <f aca="false">E6/B6</f>
        <v>0.0975609756097561</v>
      </c>
      <c r="G6" s="60" t="n">
        <f aca="false">C6/B6</f>
        <v>0.634146341463415</v>
      </c>
      <c r="H6" s="60" t="n">
        <f aca="false">D6/B6</f>
        <v>0.365853658536585</v>
      </c>
      <c r="I6" s="59" t="n">
        <v>36</v>
      </c>
      <c r="J6" s="59" t="n">
        <v>5.1</v>
      </c>
      <c r="M6" s="59" t="s">
        <v>45</v>
      </c>
      <c r="N6" s="59" t="n">
        <v>426</v>
      </c>
      <c r="O6" s="59" t="n">
        <v>11</v>
      </c>
      <c r="P6" s="59" t="n">
        <v>7</v>
      </c>
      <c r="Q6" s="60" t="n">
        <f aca="false">O6/N6</f>
        <v>0.0258215962441315</v>
      </c>
      <c r="V6" s="58" t="s">
        <v>44</v>
      </c>
      <c r="W6" s="63" t="n">
        <f aca="false">F6</f>
        <v>0.0975609756097561</v>
      </c>
    </row>
    <row r="7" customFormat="false" ht="15" hidden="false" customHeight="false" outlineLevel="0" collapsed="false">
      <c r="A7" s="59" t="s">
        <v>46</v>
      </c>
      <c r="B7" s="59" t="n">
        <v>60</v>
      </c>
      <c r="C7" s="59" t="n">
        <v>38</v>
      </c>
      <c r="D7" s="59" t="n">
        <v>22</v>
      </c>
      <c r="E7" s="59" t="n">
        <v>7</v>
      </c>
      <c r="F7" s="60" t="n">
        <f aca="false">E7/B7</f>
        <v>0.116666666666667</v>
      </c>
      <c r="G7" s="60" t="n">
        <f aca="false">C7/B7</f>
        <v>0.633333333333333</v>
      </c>
      <c r="H7" s="60" t="n">
        <f aca="false">D7/B7</f>
        <v>0.366666666666667</v>
      </c>
      <c r="I7" s="59" t="n">
        <v>33</v>
      </c>
      <c r="J7" s="59" t="n">
        <v>3.8</v>
      </c>
      <c r="M7" s="59" t="s">
        <v>47</v>
      </c>
      <c r="N7" s="59" t="n">
        <v>422</v>
      </c>
      <c r="O7" s="59" t="n">
        <v>6</v>
      </c>
      <c r="P7" s="59" t="n">
        <v>14</v>
      </c>
      <c r="Q7" s="60" t="n">
        <f aca="false">O7/N7</f>
        <v>0.014218009478673</v>
      </c>
      <c r="V7" s="58" t="s">
        <v>46</v>
      </c>
      <c r="W7" s="63" t="n">
        <f aca="false">F7</f>
        <v>0.116666666666667</v>
      </c>
    </row>
    <row r="8" customFormat="false" ht="15" hidden="false" customHeight="false" outlineLevel="0" collapsed="false">
      <c r="A8" s="59" t="s">
        <v>48</v>
      </c>
      <c r="B8" s="59" t="n">
        <v>55</v>
      </c>
      <c r="C8" s="59" t="n">
        <v>21</v>
      </c>
      <c r="D8" s="59" t="n">
        <v>34</v>
      </c>
      <c r="E8" s="59" t="n">
        <v>8</v>
      </c>
      <c r="F8" s="60" t="n">
        <f aca="false">E8/B8</f>
        <v>0.145454545454545</v>
      </c>
      <c r="G8" s="60" t="n">
        <f aca="false">C8/B8</f>
        <v>0.381818181818182</v>
      </c>
      <c r="H8" s="60" t="n">
        <f aca="false">D8/B8</f>
        <v>0.618181818181818</v>
      </c>
      <c r="I8" s="59" t="n">
        <v>27</v>
      </c>
      <c r="J8" s="59" t="n">
        <v>2.1</v>
      </c>
      <c r="M8" s="59" t="s">
        <v>49</v>
      </c>
      <c r="N8" s="59" t="n">
        <v>430</v>
      </c>
      <c r="O8" s="59" t="n">
        <v>8</v>
      </c>
      <c r="P8" s="59" t="n">
        <v>9</v>
      </c>
      <c r="Q8" s="60" t="n">
        <f aca="false">O8/N8</f>
        <v>0.0186046511627907</v>
      </c>
      <c r="V8" s="58" t="s">
        <v>48</v>
      </c>
      <c r="W8" s="63" t="n">
        <f aca="false">F8</f>
        <v>0.145454545454545</v>
      </c>
    </row>
    <row r="9" customFormat="false" ht="15" hidden="false" customHeight="false" outlineLevel="0" collapsed="false">
      <c r="A9" s="59" t="s">
        <v>50</v>
      </c>
      <c r="B9" s="59" t="n">
        <v>24</v>
      </c>
      <c r="C9" s="59" t="n">
        <v>13</v>
      </c>
      <c r="D9" s="59" t="n">
        <v>11</v>
      </c>
      <c r="E9" s="59" t="n">
        <v>2</v>
      </c>
      <c r="F9" s="60" t="n">
        <f aca="false">E9/B9</f>
        <v>0.0833333333333333</v>
      </c>
      <c r="G9" s="60" t="n">
        <f aca="false">C9/B9</f>
        <v>0.541666666666667</v>
      </c>
      <c r="H9" s="60" t="n">
        <f aca="false">D9/B9</f>
        <v>0.458333333333333</v>
      </c>
      <c r="I9" s="59" t="n">
        <v>38</v>
      </c>
      <c r="J9" s="59" t="n">
        <v>6.2</v>
      </c>
      <c r="M9" s="59" t="s">
        <v>51</v>
      </c>
      <c r="N9" s="59" t="n">
        <v>431</v>
      </c>
      <c r="O9" s="59" t="n">
        <v>9</v>
      </c>
      <c r="P9" s="59" t="n">
        <v>11</v>
      </c>
      <c r="Q9" s="60" t="n">
        <f aca="false">O9/N9</f>
        <v>0.0208816705336427</v>
      </c>
      <c r="V9" s="58" t="s">
        <v>50</v>
      </c>
      <c r="W9" s="63" t="n">
        <f aca="false">F9</f>
        <v>0.0833333333333333</v>
      </c>
    </row>
    <row r="10" customFormat="false" ht="15" hidden="false" customHeight="false" outlineLevel="0" collapsed="false">
      <c r="A10" s="59" t="s">
        <v>52</v>
      </c>
      <c r="B10" s="59" t="n">
        <v>38</v>
      </c>
      <c r="C10" s="59" t="n">
        <v>28</v>
      </c>
      <c r="D10" s="59" t="n">
        <v>10</v>
      </c>
      <c r="E10" s="59" t="n">
        <v>4</v>
      </c>
      <c r="F10" s="60" t="n">
        <f aca="false">E10/B10</f>
        <v>0.105263157894737</v>
      </c>
      <c r="G10" s="60" t="n">
        <f aca="false">C10/B10</f>
        <v>0.736842105263158</v>
      </c>
      <c r="H10" s="60" t="n">
        <f aca="false">D10/B10</f>
        <v>0.263157894736842</v>
      </c>
      <c r="I10" s="59" t="n">
        <v>28</v>
      </c>
      <c r="J10" s="59" t="n">
        <v>2.5</v>
      </c>
      <c r="M10" s="59" t="s">
        <v>53</v>
      </c>
      <c r="N10" s="59" t="n">
        <v>433</v>
      </c>
      <c r="O10" s="59" t="n">
        <v>13</v>
      </c>
      <c r="P10" s="59" t="n">
        <v>6</v>
      </c>
      <c r="Q10" s="60" t="n">
        <f aca="false">O10/N10</f>
        <v>0.0300230946882217</v>
      </c>
      <c r="V10" s="58" t="s">
        <v>52</v>
      </c>
      <c r="W10" s="63" t="n">
        <f aca="false">F10</f>
        <v>0.105263157894737</v>
      </c>
    </row>
    <row r="11" customFormat="false" ht="15" hidden="false" customHeight="false" outlineLevel="0" collapsed="false">
      <c r="A11" s="59" t="s">
        <v>54</v>
      </c>
      <c r="B11" s="59" t="n">
        <v>29</v>
      </c>
      <c r="C11" s="59" t="n">
        <v>20</v>
      </c>
      <c r="D11" s="59" t="n">
        <v>9</v>
      </c>
      <c r="E11" s="59" t="n">
        <v>3</v>
      </c>
      <c r="F11" s="60" t="n">
        <f aca="false">E11/B11</f>
        <v>0.103448275862069</v>
      </c>
      <c r="G11" s="60" t="n">
        <f aca="false">C11/B11</f>
        <v>0.689655172413793</v>
      </c>
      <c r="H11" s="60" t="n">
        <f aca="false">D11/B11</f>
        <v>0.310344827586207</v>
      </c>
      <c r="I11" s="59" t="n">
        <v>35</v>
      </c>
      <c r="J11" s="59" t="n">
        <v>4</v>
      </c>
      <c r="M11" s="59" t="s">
        <v>55</v>
      </c>
      <c r="N11" s="59" t="n">
        <v>426</v>
      </c>
      <c r="O11" s="59" t="n">
        <v>7</v>
      </c>
      <c r="P11" s="59" t="n">
        <v>10</v>
      </c>
      <c r="Q11" s="60" t="n">
        <f aca="false">O11/N11</f>
        <v>0.0164319248826291</v>
      </c>
      <c r="V11" s="58" t="s">
        <v>54</v>
      </c>
      <c r="W11" s="63" t="n">
        <f aca="false">F11</f>
        <v>0.103448275862069</v>
      </c>
    </row>
    <row r="12" customFormat="false" ht="15" hidden="false" customHeight="false" outlineLevel="0" collapsed="false">
      <c r="A12" s="59" t="s">
        <v>56</v>
      </c>
      <c r="B12" s="59" t="n">
        <v>22</v>
      </c>
      <c r="C12" s="59" t="n">
        <v>8</v>
      </c>
      <c r="D12" s="59" t="n">
        <v>14</v>
      </c>
      <c r="E12" s="59" t="n">
        <v>2</v>
      </c>
      <c r="F12" s="60" t="n">
        <f aca="false">E12/B12</f>
        <v>0.0909090909090909</v>
      </c>
      <c r="G12" s="60" t="n">
        <f aca="false">C12/B12</f>
        <v>0.363636363636364</v>
      </c>
      <c r="H12" s="60" t="n">
        <f aca="false">D12/B12</f>
        <v>0.636363636363636</v>
      </c>
      <c r="I12" s="59" t="n">
        <v>32</v>
      </c>
      <c r="J12" s="59" t="n">
        <v>3.6</v>
      </c>
      <c r="M12" s="59" t="s">
        <v>57</v>
      </c>
      <c r="N12" s="59" t="n">
        <v>429</v>
      </c>
      <c r="O12" s="59" t="n">
        <v>5</v>
      </c>
      <c r="P12" s="59" t="n">
        <v>12</v>
      </c>
      <c r="Q12" s="60" t="n">
        <f aca="false">O12/N12</f>
        <v>0.0116550116550117</v>
      </c>
      <c r="V12" s="58" t="s">
        <v>56</v>
      </c>
      <c r="W12" s="63" t="n">
        <f aca="false">F12</f>
        <v>0.0909090909090909</v>
      </c>
    </row>
    <row r="13" customFormat="false" ht="15" hidden="false" customHeight="false" outlineLevel="0" collapsed="false">
      <c r="A13" s="59" t="s">
        <v>58</v>
      </c>
      <c r="B13" s="59" t="n">
        <v>18</v>
      </c>
      <c r="C13" s="59" t="n">
        <v>11</v>
      </c>
      <c r="D13" s="59" t="n">
        <v>7</v>
      </c>
      <c r="E13" s="59" t="n">
        <v>2</v>
      </c>
      <c r="F13" s="60" t="n">
        <f aca="false">E13/B13</f>
        <v>0.111111111111111</v>
      </c>
      <c r="G13" s="60" t="n">
        <f aca="false">C13/B13</f>
        <v>0.611111111111111</v>
      </c>
      <c r="H13" s="60" t="n">
        <f aca="false">D13/B13</f>
        <v>0.388888888888889</v>
      </c>
      <c r="I13" s="59" t="n">
        <v>37</v>
      </c>
      <c r="J13" s="59" t="n">
        <v>5.5</v>
      </c>
      <c r="M13" s="59" t="s">
        <v>59</v>
      </c>
      <c r="N13" s="59" t="n">
        <v>436</v>
      </c>
      <c r="O13" s="59" t="n">
        <v>6</v>
      </c>
      <c r="P13" s="59" t="n">
        <v>8</v>
      </c>
      <c r="Q13" s="60" t="n">
        <f aca="false">O13/N13</f>
        <v>0.0137614678899083</v>
      </c>
      <c r="V13" s="58" t="s">
        <v>58</v>
      </c>
      <c r="W13" s="63" t="n">
        <f aca="false">F13</f>
        <v>0.111111111111111</v>
      </c>
    </row>
    <row r="14" customFormat="false" ht="15" hidden="false" customHeight="false" outlineLevel="0" collapsed="false">
      <c r="A14" s="59" t="s">
        <v>60</v>
      </c>
      <c r="B14" s="59" t="n">
        <v>27</v>
      </c>
      <c r="C14" s="59" t="n">
        <v>14</v>
      </c>
      <c r="D14" s="59" t="n">
        <v>13</v>
      </c>
      <c r="E14" s="59" t="n">
        <v>3</v>
      </c>
      <c r="F14" s="60" t="n">
        <f aca="false">E14/B14</f>
        <v>0.111111111111111</v>
      </c>
      <c r="G14" s="60" t="n">
        <f aca="false">C14/B14</f>
        <v>0.518518518518519</v>
      </c>
      <c r="H14" s="60" t="n">
        <f aca="false">D14/B14</f>
        <v>0.481481481481481</v>
      </c>
      <c r="I14" s="59" t="n">
        <v>30</v>
      </c>
      <c r="J14" s="59" t="n">
        <v>2.9</v>
      </c>
      <c r="V14" s="58" t="s">
        <v>60</v>
      </c>
      <c r="W14" s="63" t="n">
        <f aca="false">F14</f>
        <v>0.111111111111111</v>
      </c>
    </row>
    <row r="15" customFormat="false" ht="15" hidden="false" customHeight="false" outlineLevel="0" collapsed="false">
      <c r="A15" s="64" t="s">
        <v>24</v>
      </c>
      <c r="B15" s="64" t="n">
        <f aca="false">SUM(B2:B14)</f>
        <v>560</v>
      </c>
      <c r="C15" s="64" t="n">
        <f aca="false">SUM(C2:C14)</f>
        <v>314</v>
      </c>
      <c r="D15" s="64" t="n">
        <f aca="false">SUM(D2:D14)</f>
        <v>246</v>
      </c>
      <c r="E15" s="64" t="n">
        <f aca="false">SUM(E2:E14)</f>
        <v>62</v>
      </c>
      <c r="F15" s="65" t="n">
        <f aca="false">E15/B15</f>
        <v>0.110714285714286</v>
      </c>
      <c r="G15" s="65" t="n">
        <f aca="false">C15/B15</f>
        <v>0.560714285714286</v>
      </c>
      <c r="H15" s="65" t="n">
        <f aca="false">D15/B15</f>
        <v>0.439285714285714</v>
      </c>
      <c r="I15" s="66" t="n">
        <f aca="false">AVERAGE(I2:I14)</f>
        <v>32.3076923076923</v>
      </c>
      <c r="J15" s="66" t="n">
        <f aca="false">AVERAGE(J2:J14)</f>
        <v>3.78461538461539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2026-02-24T14:09:33Z</dcterms:created>
  <dc:creator>openpyxl</dc:creator>
  <dc:description/>
  <dc:language>en-US</dc:language>
  <cp:lastModifiedBy/>
  <dcterms:modified xsi:type="dcterms:W3CDTF">2026-02-24T14:09:39Z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